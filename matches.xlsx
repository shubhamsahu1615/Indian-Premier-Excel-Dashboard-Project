
<file path=[Content_Types].xml><?xml version="1.0" encoding="utf-8"?>
<Types xmlns="http://schemas.openxmlformats.org/package/2006/content-types">
  <Default Extension="rels" ContentType="application/vnd.openxmlformats-package.relationships+xml"/>
  <Default Extension="xml" ContentType="application/xml"/>
  <Default Extension="avif" ContentType="image/p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slicers/slicer4.xml" ContentType="application/vnd.ms-excel.slicer+xml"/>
  <Override PartName="/xl/drawings/drawing7.xml" ContentType="application/vnd.openxmlformats-officedocument.drawing+xml"/>
  <Override PartName="/xl/slicers/slicer5.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Ex1.xml" ContentType="application/vnd.ms-office.chartex+xml"/>
  <Override PartName="/xl/charts/style11.xml" ContentType="application/vnd.ms-office.chartstyle+xml"/>
  <Override PartName="/xl/charts/colors11.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tables/table3.xml" ContentType="application/vnd.openxmlformats-officedocument.spreadsheetml.table+xml"/>
  <Override PartName="/xl/slicers/slicer6.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E:\SHUBHAM\ITVEDANT\EXCEL\Project data\"/>
    </mc:Choice>
  </mc:AlternateContent>
  <bookViews>
    <workbookView xWindow="0" yWindow="0" windowWidth="23040" windowHeight="9075" firstSheet="4" activeTab="8"/>
  </bookViews>
  <sheets>
    <sheet name="Data 2015-2024" sheetId="8" r:id="rId1"/>
    <sheet name=" Winners Data" sheetId="2" r:id="rId2"/>
    <sheet name="Matches win by team" sheetId="9" r:id="rId3"/>
    <sheet name="Toss Based Decision" sheetId="10" r:id="rId4"/>
    <sheet name="Top 10 Venues" sheetId="11" r:id="rId5"/>
    <sheet name="MoM" sheetId="12" r:id="rId6"/>
    <sheet name="Count of Winners" sheetId="19" r:id="rId7"/>
    <sheet name="KPI ED" sheetId="17" r:id="rId8"/>
    <sheet name="Dashboard" sheetId="15" r:id="rId9"/>
    <sheet name="Title Winners" sheetId="13" r:id="rId10"/>
    <sheet name="KPI" sheetId="14" r:id="rId11"/>
  </sheets>
  <definedNames>
    <definedName name="_xlchart.v1.0" hidden="1">'Title Winners'!$D$4:$D$8</definedName>
    <definedName name="_xlchart.v1.1" hidden="1">'Title Winners'!$E$4:$E$8</definedName>
    <definedName name="Slicer_season">#N/A</definedName>
    <definedName name="Slicer_season2">#N/A</definedName>
  </definedNames>
  <calcPr calcId="162913"/>
  <pivotCaches>
    <pivotCache cacheId="0" r:id="rId12"/>
    <pivotCache cacheId="1" r:id="rId13"/>
    <pivotCache cacheId="2"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H15" i="17" l="1"/>
  <c r="L15" i="17" s="1"/>
  <c r="K15" i="17" l="1"/>
  <c r="I15" i="17"/>
  <c r="J15" i="17"/>
  <c r="G7" i="14"/>
  <c r="K7" i="14" s="1"/>
  <c r="D5" i="13"/>
  <c r="D6" i="13"/>
  <c r="D7" i="13"/>
  <c r="D8" i="13"/>
  <c r="D4" i="13"/>
  <c r="E15" i="12"/>
  <c r="E7" i="12"/>
  <c r="E8" i="12"/>
  <c r="E9" i="12"/>
  <c r="E10" i="12"/>
  <c r="E11" i="12"/>
  <c r="E12" i="12"/>
  <c r="E13" i="12"/>
  <c r="E14" i="12"/>
  <c r="E6" i="12"/>
  <c r="E8" i="13"/>
  <c r="E5" i="13"/>
  <c r="E6" i="13"/>
  <c r="E7" i="13"/>
  <c r="E4" i="13"/>
  <c r="F12" i="12"/>
  <c r="F14" i="12"/>
  <c r="F8" i="12"/>
  <c r="F13" i="12"/>
  <c r="F15" i="12"/>
  <c r="F6" i="12"/>
  <c r="F10" i="12"/>
  <c r="F7" i="12"/>
  <c r="F9" i="12"/>
  <c r="F11" i="12"/>
  <c r="J7" i="14" l="1"/>
  <c r="H7" i="14"/>
  <c r="I7" i="14"/>
</calcChain>
</file>

<file path=xl/sharedStrings.xml><?xml version="1.0" encoding="utf-8"?>
<sst xmlns="http://schemas.openxmlformats.org/spreadsheetml/2006/main" count="10515" uniqueCount="399">
  <si>
    <t>id</t>
  </si>
  <si>
    <t>season</t>
  </si>
  <si>
    <t>city</t>
  </si>
  <si>
    <t>date</t>
  </si>
  <si>
    <t>match_type</t>
  </si>
  <si>
    <t>player_of_match</t>
  </si>
  <si>
    <t>venue</t>
  </si>
  <si>
    <t>team1</t>
  </si>
  <si>
    <t>team2</t>
  </si>
  <si>
    <t>toss_winner</t>
  </si>
  <si>
    <t>toss_decision</t>
  </si>
  <si>
    <t>winner</t>
  </si>
  <si>
    <t>result</t>
  </si>
  <si>
    <t>result_margin</t>
  </si>
  <si>
    <t>target_runs</t>
  </si>
  <si>
    <t>target_overs</t>
  </si>
  <si>
    <t>super_over</t>
  </si>
  <si>
    <t>method</t>
  </si>
  <si>
    <t>umpire1</t>
  </si>
  <si>
    <t>umpire2</t>
  </si>
  <si>
    <t>Bangalore</t>
  </si>
  <si>
    <t>League</t>
  </si>
  <si>
    <t>BB McCullum</t>
  </si>
  <si>
    <t>M Chinnaswamy Stadium</t>
  </si>
  <si>
    <t>Royal Challengers Bangalore</t>
  </si>
  <si>
    <t>Kolkata Knight Riders</t>
  </si>
  <si>
    <t>field</t>
  </si>
  <si>
    <t>runs</t>
  </si>
  <si>
    <t>N</t>
  </si>
  <si>
    <t>NA</t>
  </si>
  <si>
    <t>Chandigarh</t>
  </si>
  <si>
    <t>Punjab Cricket Association Stadium, Mohali</t>
  </si>
  <si>
    <t>Kings XI Punjab</t>
  </si>
  <si>
    <t>Chennai Super Kings</t>
  </si>
  <si>
    <t>bat</t>
  </si>
  <si>
    <t>Delhi</t>
  </si>
  <si>
    <t>Feroz Shah Kotla</t>
  </si>
  <si>
    <t>Rajasthan Royals</t>
  </si>
  <si>
    <t>wickets</t>
  </si>
  <si>
    <t>Mumbai</t>
  </si>
  <si>
    <t>Wankhede Stadium</t>
  </si>
  <si>
    <t>Mumbai Indians</t>
  </si>
  <si>
    <t>Kolkata</t>
  </si>
  <si>
    <t>Eden Gardens</t>
  </si>
  <si>
    <t>Jaipur</t>
  </si>
  <si>
    <t>SR Watson</t>
  </si>
  <si>
    <t>Sawai Mansingh Stadium</t>
  </si>
  <si>
    <t>Hyderabad</t>
  </si>
  <si>
    <t>Rajiv Gandhi International Stadium, Uppal</t>
  </si>
  <si>
    <t>Chennai</t>
  </si>
  <si>
    <t>MA Chidambaram Stadium, Chepauk</t>
  </si>
  <si>
    <t>YK Pathan</t>
  </si>
  <si>
    <t>MS Dhoni</t>
  </si>
  <si>
    <t>SE Marsh</t>
  </si>
  <si>
    <t>P Kumar</t>
  </si>
  <si>
    <t>A Nehra</t>
  </si>
  <si>
    <t>A Mishra</t>
  </si>
  <si>
    <t>D/L</t>
  </si>
  <si>
    <t>DJ Bravo</t>
  </si>
  <si>
    <t>KD Karthik</t>
  </si>
  <si>
    <t>SK Raina</t>
  </si>
  <si>
    <t>Final</t>
  </si>
  <si>
    <t>CH Gayle</t>
  </si>
  <si>
    <t>M Erasmus</t>
  </si>
  <si>
    <t>AB de Villiers</t>
  </si>
  <si>
    <t>tie</t>
  </si>
  <si>
    <t>Y</t>
  </si>
  <si>
    <t>HDPK Dharmasena</t>
  </si>
  <si>
    <t>JP Duminy</t>
  </si>
  <si>
    <t>Yuvraj Singh</t>
  </si>
  <si>
    <t>S Ravi</t>
  </si>
  <si>
    <t>G Gambhir</t>
  </si>
  <si>
    <t>RG Sharma</t>
  </si>
  <si>
    <t>DR Smith</t>
  </si>
  <si>
    <t>Harbhajan Singh</t>
  </si>
  <si>
    <t>MK Pandey</t>
  </si>
  <si>
    <t>Brabourne Stadium</t>
  </si>
  <si>
    <t>Ahmedabad</t>
  </si>
  <si>
    <t>Sardar Patel Stadium, Motera</t>
  </si>
  <si>
    <t>RV Uthappa</t>
  </si>
  <si>
    <t>Brabourne Stadium, Mumbai</t>
  </si>
  <si>
    <t>KM Jadhav</t>
  </si>
  <si>
    <t>DA Warner</t>
  </si>
  <si>
    <t>SL Malinga</t>
  </si>
  <si>
    <t>AT Rayudu</t>
  </si>
  <si>
    <t>PP Chawla</t>
  </si>
  <si>
    <t>KA Pollard</t>
  </si>
  <si>
    <t>R Ashwin</t>
  </si>
  <si>
    <t>Dharamsala</t>
  </si>
  <si>
    <t>JD Unadkat</t>
  </si>
  <si>
    <t>PR Reiffel</t>
  </si>
  <si>
    <t>RJ Tucker</t>
  </si>
  <si>
    <t>V Kohli</t>
  </si>
  <si>
    <t>I Sharma</t>
  </si>
  <si>
    <t>MR Marsh</t>
  </si>
  <si>
    <t>Indore</t>
  </si>
  <si>
    <t>Holkar Cricket Stadium</t>
  </si>
  <si>
    <t>WP Saha</t>
  </si>
  <si>
    <t>S Dhawan</t>
  </si>
  <si>
    <t>no result</t>
  </si>
  <si>
    <t>Qualifier 1</t>
  </si>
  <si>
    <t>Elimination Final</t>
  </si>
  <si>
    <t>Qualifier 2</t>
  </si>
  <si>
    <t>JD Cloete</t>
  </si>
  <si>
    <t>SPD Smith</t>
  </si>
  <si>
    <t>AK Chaudhary</t>
  </si>
  <si>
    <t>AM Rahane</t>
  </si>
  <si>
    <t>Visakhapatnam</t>
  </si>
  <si>
    <t>RA Jadeja</t>
  </si>
  <si>
    <t>Dr. Y.S. Rajasekhara Reddy ACA-VDCA Cricket Stadium</t>
  </si>
  <si>
    <t>VA Kulkarni</t>
  </si>
  <si>
    <t>Pune</t>
  </si>
  <si>
    <t>M Morkel</t>
  </si>
  <si>
    <t>BNJ Oxenford</t>
  </si>
  <si>
    <t>F du Plessis</t>
  </si>
  <si>
    <t>SP Narine</t>
  </si>
  <si>
    <t>S Nadeem</t>
  </si>
  <si>
    <t>Mandeep Singh</t>
  </si>
  <si>
    <t>C Shamshuddin</t>
  </si>
  <si>
    <t>P Negi</t>
  </si>
  <si>
    <t>UT Yadav</t>
  </si>
  <si>
    <t>Sunrisers Hyderabad</t>
  </si>
  <si>
    <t>M Vohra</t>
  </si>
  <si>
    <t>AJ Finch</t>
  </si>
  <si>
    <t>K Srinath</t>
  </si>
  <si>
    <t>JP Faulkner</t>
  </si>
  <si>
    <t>CK Nandan</t>
  </si>
  <si>
    <t>Maharashtra Cricket Association Stadium</t>
  </si>
  <si>
    <t>DA Miller</t>
  </si>
  <si>
    <t>Raipur</t>
  </si>
  <si>
    <t>Shaheed Veer Narayan Singh International Stadium</t>
  </si>
  <si>
    <t>SV Samson</t>
  </si>
  <si>
    <t>NJ Llong</t>
  </si>
  <si>
    <t>PA Patel</t>
  </si>
  <si>
    <t>Ranchi</t>
  </si>
  <si>
    <t>JSCA International Stadium Complex</t>
  </si>
  <si>
    <t>Eliminator</t>
  </si>
  <si>
    <t>Abu Dhabi</t>
  </si>
  <si>
    <t>Sheikh Zayed Stadium</t>
  </si>
  <si>
    <t>RK Illingworth</t>
  </si>
  <si>
    <t>YS Chahal</t>
  </si>
  <si>
    <t>Sharjah Cricket Stadium</t>
  </si>
  <si>
    <t>GJ Maxwell</t>
  </si>
  <si>
    <t>Dubai International Cricket Stadium</t>
  </si>
  <si>
    <t>CA Lynn</t>
  </si>
  <si>
    <t>MM Sharma</t>
  </si>
  <si>
    <t>Sandeep Sharma</t>
  </si>
  <si>
    <t>B Kumar</t>
  </si>
  <si>
    <t>CJ Anderson</t>
  </si>
  <si>
    <t>KK Nair</t>
  </si>
  <si>
    <t>RM Deshpande</t>
  </si>
  <si>
    <t>PG Pathak</t>
  </si>
  <si>
    <t>AR Patel</t>
  </si>
  <si>
    <t>LMP Simmons</t>
  </si>
  <si>
    <t>SD Fry</t>
  </si>
  <si>
    <t>CB Gaffaney</t>
  </si>
  <si>
    <t>DJ Hooda</t>
  </si>
  <si>
    <t>GJ Bailey</t>
  </si>
  <si>
    <t>K Srinivasan</t>
  </si>
  <si>
    <t>MA Agarwal</t>
  </si>
  <si>
    <t>AD Russell</t>
  </si>
  <si>
    <t>SS Iyer</t>
  </si>
  <si>
    <t>MA Starc</t>
  </si>
  <si>
    <t>VR Aaron</t>
  </si>
  <si>
    <t>TA Boult</t>
  </si>
  <si>
    <t>NM Coulter-Nile</t>
  </si>
  <si>
    <t>EJG Morgan</t>
  </si>
  <si>
    <t>HH Pandya</t>
  </si>
  <si>
    <t>MC Henriques</t>
  </si>
  <si>
    <t>Z Khan</t>
  </si>
  <si>
    <t>MJ McClenaghan</t>
  </si>
  <si>
    <t>Rising Pune Supergiants</t>
  </si>
  <si>
    <t>Punjab Cricket Association IS Bindra Stadium, Mohali</t>
  </si>
  <si>
    <t>VK Sharma</t>
  </si>
  <si>
    <t>Nitin Menon</t>
  </si>
  <si>
    <t>Rajkot</t>
  </si>
  <si>
    <t>Saurashtra Cricket Association Stadium</t>
  </si>
  <si>
    <t>Q de Kock</t>
  </si>
  <si>
    <t>A Nand Kishore</t>
  </si>
  <si>
    <t>K Bharatan</t>
  </si>
  <si>
    <t>Mustafizur Rahman</t>
  </si>
  <si>
    <t>SA Yadav</t>
  </si>
  <si>
    <t>AB Dinda</t>
  </si>
  <si>
    <t>AY Dandekar</t>
  </si>
  <si>
    <t>CH Morris</t>
  </si>
  <si>
    <t>CR Brathwaite</t>
  </si>
  <si>
    <t>KN Ananthapadmanabhan</t>
  </si>
  <si>
    <t>RR Pant</t>
  </si>
  <si>
    <t>MP Stoinis</t>
  </si>
  <si>
    <t>A Zampa</t>
  </si>
  <si>
    <t>KH Pandya</t>
  </si>
  <si>
    <t>HM Amla</t>
  </si>
  <si>
    <t>Kanpur</t>
  </si>
  <si>
    <t>Green Park</t>
  </si>
  <si>
    <t>BCJ Cutting</t>
  </si>
  <si>
    <t>Bengaluru</t>
  </si>
  <si>
    <t>M.Chinnaswamy Stadium</t>
  </si>
  <si>
    <t>Rashid Khan</t>
  </si>
  <si>
    <t>A Deshmukh</t>
  </si>
  <si>
    <t>N Rana</t>
  </si>
  <si>
    <t>JJ Bumrah</t>
  </si>
  <si>
    <t>AJ Tye</t>
  </si>
  <si>
    <t>YC Barde</t>
  </si>
  <si>
    <t>BA Stokes</t>
  </si>
  <si>
    <t>KS Williamson</t>
  </si>
  <si>
    <t>JC Buttler</t>
  </si>
  <si>
    <t>LH Ferguson</t>
  </si>
  <si>
    <t>Mohammed Shami</t>
  </si>
  <si>
    <t>RA Tripathi</t>
  </si>
  <si>
    <t>Mohammed Siraj</t>
  </si>
  <si>
    <t>HV Patel</t>
  </si>
  <si>
    <t>Washington Sundar</t>
  </si>
  <si>
    <t>KV Sharma</t>
  </si>
  <si>
    <t>KL Rahul</t>
  </si>
  <si>
    <t>Punjab Cricket Association IS Bindra Stadium</t>
  </si>
  <si>
    <t>Rajiv Gandhi International Stadium</t>
  </si>
  <si>
    <t>SW Billings</t>
  </si>
  <si>
    <t>MA Chidambaram Stadium</t>
  </si>
  <si>
    <t>JJ Roy</t>
  </si>
  <si>
    <t>B Stanlake</t>
  </si>
  <si>
    <t>JC Archer</t>
  </si>
  <si>
    <t>AS Rajpoot</t>
  </si>
  <si>
    <t>Arun Jaitley Stadium</t>
  </si>
  <si>
    <t>TG Southee</t>
  </si>
  <si>
    <t>Mujeeb Ur Rahman</t>
  </si>
  <si>
    <t>Ishan Kishan</t>
  </si>
  <si>
    <t>Kuldeep Yadav</t>
  </si>
  <si>
    <t>S Gopal</t>
  </si>
  <si>
    <t>L Ngidi</t>
  </si>
  <si>
    <t>Delhi Capitals</t>
  </si>
  <si>
    <t>PP Shaw</t>
  </si>
  <si>
    <t>JM Bairstow</t>
  </si>
  <si>
    <t>SM Curran</t>
  </si>
  <si>
    <t>AS Joseph</t>
  </si>
  <si>
    <t>K Rabada</t>
  </si>
  <si>
    <t>HF Gurney</t>
  </si>
  <si>
    <t>DL Chahar</t>
  </si>
  <si>
    <t>UV Gandhe</t>
  </si>
  <si>
    <t>Imran Tahir</t>
  </si>
  <si>
    <t>KMA Paul</t>
  </si>
  <si>
    <t>IJ Gould</t>
  </si>
  <si>
    <t>KK Ahmed</t>
  </si>
  <si>
    <t>Shubman Gill</t>
  </si>
  <si>
    <t>SO Hetmyer</t>
  </si>
  <si>
    <t>Shivam Mavi</t>
  </si>
  <si>
    <t>PK Garg</t>
  </si>
  <si>
    <t>R Tewatia</t>
  </si>
  <si>
    <t>A Nortje</t>
  </si>
  <si>
    <t>CV Varun</t>
  </si>
  <si>
    <t>CJ Jordan</t>
  </si>
  <si>
    <t>RD Gaikwad</t>
  </si>
  <si>
    <t>PJ Cummins</t>
  </si>
  <si>
    <t>MA Chidambaram Stadium, Chepauk, Chennai</t>
  </si>
  <si>
    <t>Wankhede Stadium, Mumbai</t>
  </si>
  <si>
    <t>Punjab Kings</t>
  </si>
  <si>
    <t>RD Chahar</t>
  </si>
  <si>
    <t>MM Ali</t>
  </si>
  <si>
    <t>D Padikkal</t>
  </si>
  <si>
    <t>J Madanagopal</t>
  </si>
  <si>
    <t>Navdeep Singh</t>
  </si>
  <si>
    <t>Narendra Modi Stadium, Ahmedabad</t>
  </si>
  <si>
    <t>Arun Jaitley Stadium, Delhi</t>
  </si>
  <si>
    <t>Harpreet Brar</t>
  </si>
  <si>
    <t>Dubai</t>
  </si>
  <si>
    <t>Zayed Cricket Stadium, Abu Dhabi</t>
  </si>
  <si>
    <t>Kartik Tyagi</t>
  </si>
  <si>
    <t>MA Gough</t>
  </si>
  <si>
    <t>Sharjah</t>
  </si>
  <si>
    <t>JO Holder</t>
  </si>
  <si>
    <t>Tapan Sharma</t>
  </si>
  <si>
    <t>HAS Khalid</t>
  </si>
  <si>
    <t>JR Hazlewood</t>
  </si>
  <si>
    <t>KS Bharat</t>
  </si>
  <si>
    <t>VR Iyer</t>
  </si>
  <si>
    <t>OF Smith</t>
  </si>
  <si>
    <t>Dr DY Patil Sports Academy, Mumbai</t>
  </si>
  <si>
    <t>Lucknow Super Giants</t>
  </si>
  <si>
    <t>Gujarat Titans</t>
  </si>
  <si>
    <t>Maharashtra Cricket Association Stadium, Pune</t>
  </si>
  <si>
    <t>PWH de Silva</t>
  </si>
  <si>
    <t>E Lewis</t>
  </si>
  <si>
    <t>LS Livingstone</t>
  </si>
  <si>
    <t>Avesh Khan</t>
  </si>
  <si>
    <t>Abhishek Sharma</t>
  </si>
  <si>
    <t>Anuj Rawat</t>
  </si>
  <si>
    <t>Chirra Ravikanthreddy</t>
  </si>
  <si>
    <t>S Dube</t>
  </si>
  <si>
    <t>N Pandit</t>
  </si>
  <si>
    <t>R Pandit</t>
  </si>
  <si>
    <t>GR Sadashiv Iyer</t>
  </si>
  <si>
    <t>NA Patwardhan</t>
  </si>
  <si>
    <t>Umran Malik</t>
  </si>
  <si>
    <t>Navi Mumbai</t>
  </si>
  <si>
    <t>Mukesh Choudhary</t>
  </si>
  <si>
    <t>M Jansen</t>
  </si>
  <si>
    <t>R Parag</t>
  </si>
  <si>
    <t>Mohsin Khan</t>
  </si>
  <si>
    <t>RK Singh</t>
  </si>
  <si>
    <t>TH David</t>
  </si>
  <si>
    <t>YBK Jaiswal</t>
  </si>
  <si>
    <t>DP Conway</t>
  </si>
  <si>
    <t>DR Sams</t>
  </si>
  <si>
    <t>SN Thakur</t>
  </si>
  <si>
    <t>Eden Gardens, Kolkata</t>
  </si>
  <si>
    <t>RM Patidar</t>
  </si>
  <si>
    <t>Arshdeep Singh</t>
  </si>
  <si>
    <t>Punjab Cricket Association IS Bindra Stadium, Mohali, Chandigarh</t>
  </si>
  <si>
    <t>Lucknow</t>
  </si>
  <si>
    <t>MA Wood</t>
  </si>
  <si>
    <t>Bharat Ratna Shri Atal Bihari Vajpayee Ekana Cricket Stadium, Lucknow</t>
  </si>
  <si>
    <t>Rajiv Gandhi International Stadium, Uppal, Hyderabad</t>
  </si>
  <si>
    <t>M Chinnaswamy Stadium, Bengaluru</t>
  </si>
  <si>
    <t>A Totre</t>
  </si>
  <si>
    <t>B Sai Sudharsan</t>
  </si>
  <si>
    <t>Guwahati</t>
  </si>
  <si>
    <t>NT Ellis</t>
  </si>
  <si>
    <t>Barsapara Cricket Stadium, Guwahati</t>
  </si>
  <si>
    <t>MV Saidharshan Kumar</t>
  </si>
  <si>
    <t>Vinod Seshan</t>
  </si>
  <si>
    <t>N Pooran</t>
  </si>
  <si>
    <t>HC Brook</t>
  </si>
  <si>
    <t>Sikandar Raza</t>
  </si>
  <si>
    <t>C Green</t>
  </si>
  <si>
    <t>Sawai Mansingh Stadium, Jaipur</t>
  </si>
  <si>
    <t>A Manohar</t>
  </si>
  <si>
    <t>J Little</t>
  </si>
  <si>
    <t>M Pathirana</t>
  </si>
  <si>
    <t>PD Salt</t>
  </si>
  <si>
    <t>GD Phillips</t>
  </si>
  <si>
    <t>PN Mankad</t>
  </si>
  <si>
    <t>P Simran Singh</t>
  </si>
  <si>
    <t>WD Parnell</t>
  </si>
  <si>
    <t>RR Rossouw</t>
  </si>
  <si>
    <t>Himachal Pradesh Cricket Association Stadium, Dharamsala</t>
  </si>
  <si>
    <t>Akash Madhwal</t>
  </si>
  <si>
    <t>Mohali</t>
  </si>
  <si>
    <t>Maharaja Yadavindra Singh International Cricket Stadium, Mullanpur</t>
  </si>
  <si>
    <t>AG Wharf</t>
  </si>
  <si>
    <t>MP Yadav</t>
  </si>
  <si>
    <t>Dr. Y.S. Rajasekhara Reddy ACA-VDCA Cricket Stadium, Visakhapatnam</t>
  </si>
  <si>
    <t>Shashank Singh</t>
  </si>
  <si>
    <t>R Shepherd</t>
  </si>
  <si>
    <t>Yash Thakur</t>
  </si>
  <si>
    <t>Nithish Kumar Reddy</t>
  </si>
  <si>
    <t>TM Head</t>
  </si>
  <si>
    <t>R Sai Kishore</t>
  </si>
  <si>
    <t>J Fraser-McGurk</t>
  </si>
  <si>
    <t>WG Jacks</t>
  </si>
  <si>
    <t>Simarjeet Singh</t>
  </si>
  <si>
    <t>Shahbaz Ahmed</t>
  </si>
  <si>
    <t>IPL-2015</t>
  </si>
  <si>
    <t>IPL-2016</t>
  </si>
  <si>
    <t>IPL-2017</t>
  </si>
  <si>
    <t>IPL-2018</t>
  </si>
  <si>
    <t>IPL-2019</t>
  </si>
  <si>
    <t>IPL-2020</t>
  </si>
  <si>
    <t>IPL-2021</t>
  </si>
  <si>
    <t>IPL-2022</t>
  </si>
  <si>
    <t>IPL-2023</t>
  </si>
  <si>
    <t>IPL-2024</t>
  </si>
  <si>
    <t>player_of_match2</t>
  </si>
  <si>
    <t>Season</t>
  </si>
  <si>
    <t>Winner</t>
  </si>
  <si>
    <t>Runner-up</t>
  </si>
  <si>
    <t>Player of the Match (Final)</t>
  </si>
  <si>
    <t>Player of the Series</t>
  </si>
  <si>
    <t xml:space="preserve">Rohit Sharma </t>
  </si>
  <si>
    <t xml:space="preserve">Andre Russell </t>
  </si>
  <si>
    <t xml:space="preserve">Ben Cutting </t>
  </si>
  <si>
    <t xml:space="preserve">Virat Kohli </t>
  </si>
  <si>
    <t xml:space="preserve">Krunal Pandya </t>
  </si>
  <si>
    <t xml:space="preserve">Ben Stokes </t>
  </si>
  <si>
    <t xml:space="preserve">Shane Watson </t>
  </si>
  <si>
    <t xml:space="preserve">Sunil Narine </t>
  </si>
  <si>
    <t>Jasprit Bumrah</t>
  </si>
  <si>
    <t xml:space="preserve">Trent Boult </t>
  </si>
  <si>
    <t xml:space="preserve">Jofra Archer </t>
  </si>
  <si>
    <t xml:space="preserve">Faf du Plessis </t>
  </si>
  <si>
    <t xml:space="preserve">Harshal Patel </t>
  </si>
  <si>
    <t xml:space="preserve">Hardik Pandya </t>
  </si>
  <si>
    <t xml:space="preserve">Jos Buttler </t>
  </si>
  <si>
    <t xml:space="preserve">Devon Conway </t>
  </si>
  <si>
    <t xml:space="preserve">Shubman Gill </t>
  </si>
  <si>
    <t xml:space="preserve">Mitchell Starc </t>
  </si>
  <si>
    <t>Row Labels</t>
  </si>
  <si>
    <t>Grand Total</t>
  </si>
  <si>
    <t>Count of toss_winner</t>
  </si>
  <si>
    <t>Column Labels</t>
  </si>
  <si>
    <t>Count of winner</t>
  </si>
  <si>
    <t>selected only top 10 stadium</t>
  </si>
  <si>
    <t>Count of player_of_match</t>
  </si>
  <si>
    <t>if we select top 10 values it will not show in different seasons because the values are repeating</t>
  </si>
  <si>
    <t>so we need to create another dynamic table</t>
  </si>
  <si>
    <t>Players of Match</t>
  </si>
  <si>
    <t>MOM WON</t>
  </si>
  <si>
    <t>Count of Winner</t>
  </si>
  <si>
    <t xml:space="preserve">we cannot use tree map using pivot table </t>
  </si>
  <si>
    <t xml:space="preserve">so we need to create another table </t>
  </si>
  <si>
    <t>used vlook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</si>
</sst>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7">
    <xf numFmtId="0" fontId="0" fillId="0" borderId="0" xfId="0"/>
    <xf numFmtId="0" fontId="13" fillId="33" borderId="10" xfId="0" applyFont="1" applyFill="1" applyBorder="1"/>
    <xf numFmtId="0" fontId="13" fillId="33" borderId="11" xfId="0" applyFont="1" applyFill="1" applyBorder="1"/>
    <xf numFmtId="0" fontId="13" fillId="33" borderId="12" xfId="0" applyFont="1" applyFill="1" applyBorder="1"/>
    <xf numFmtId="0" fontId="0" fillId="0" borderId="10" xfId="0" applyFont="1" applyBorder="1"/>
    <xf numFmtId="0" fontId="0" fillId="0" borderId="11" xfId="0" applyFont="1" applyBorder="1"/>
    <xf numFmtId="14" fontId="0" fillId="0" borderId="11" xfId="0" applyNumberFormat="1" applyFont="1" applyBorder="1"/>
    <xf numFmtId="0" fontId="0" fillId="0" borderId="12" xfId="0" applyFont="1" applyBorder="1"/>
    <xf numFmtId="0" fontId="0" fillId="0" borderId="13" xfId="0" applyFont="1" applyBorder="1"/>
    <xf numFmtId="0" fontId="0" fillId="0" borderId="14" xfId="0" applyFont="1" applyBorder="1"/>
    <xf numFmtId="14" fontId="0" fillId="0" borderId="14" xfId="0" applyNumberFormat="1" applyFont="1" applyBorder="1"/>
    <xf numFmtId="0" fontId="0" fillId="0" borderId="15" xfId="0" applyFont="1" applyBorder="1"/>
    <xf numFmtId="0" fontId="0" fillId="0" borderId="16" xfId="0" applyBorder="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0" fillId="34" borderId="0" xfId="0" applyFill="1"/>
    <xf numFmtId="0" fontId="0" fillId="0" borderId="17" xfId="0" applyBorder="1"/>
    <xf numFmtId="0" fontId="0" fillId="0" borderId="18" xfId="0" applyBorder="1"/>
    <xf numFmtId="0" fontId="16" fillId="0" borderId="19" xfId="0" applyFont="1" applyBorder="1" applyAlignment="1">
      <alignment horizontal="left" vertical="center" wrapText="1"/>
    </xf>
    <xf numFmtId="0" fontId="16" fillId="0" borderId="20" xfId="0" applyFont="1" applyBorder="1" applyAlignment="1">
      <alignment horizontal="left" vertical="center" wrapText="1"/>
    </xf>
    <xf numFmtId="0" fontId="16" fillId="0" borderId="21" xfId="0" applyFont="1" applyBorder="1" applyAlignment="1">
      <alignment horizontal="left" vertical="center" wrapText="1"/>
    </xf>
    <xf numFmtId="0" fontId="0" fillId="0" borderId="22" xfId="0" applyBorder="1"/>
    <xf numFmtId="0" fontId="0" fillId="0" borderId="23" xfId="0" applyBorder="1"/>
    <xf numFmtId="0" fontId="0" fillId="0" borderId="24" xfId="0" applyBorder="1"/>
    <xf numFmtId="0" fontId="13" fillId="33" borderId="16" xfId="0" applyFont="1" applyFill="1" applyBorder="1"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0331A5"/>
      <color rgb="FF000000"/>
      <color rgb="FF0422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[matches.xlsx]Matches win by team!Matches win by team</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Match</a:t>
            </a:r>
            <a:r>
              <a:rPr lang="en-IN" b="1" baseline="0"/>
              <a:t> win by team with Bat first and Field first </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42280"/>
          </a:solidFill>
          <a:ln>
            <a:noFill/>
          </a:ln>
          <a:effectLst/>
        </c:spPr>
        <c:marker>
          <c:symbol val="none"/>
        </c:marker>
      </c:pivotFmt>
      <c:pivotFmt>
        <c:idx val="1"/>
        <c:spPr>
          <a:solidFill>
            <a:schemeClr val="accent1">
              <a:lumMod val="75000"/>
            </a:schemeClr>
          </a:solidFill>
          <a:ln>
            <a:noFill/>
          </a:ln>
          <a:effectLst/>
        </c:spPr>
        <c:marker>
          <c:symbol val="none"/>
        </c:marker>
      </c:pivotFmt>
      <c:pivotFmt>
        <c:idx val="2"/>
        <c:spPr>
          <a:solidFill>
            <a:srgbClr val="0422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330839049902576E-2"/>
          <c:y val="0.27761628754738993"/>
          <c:w val="0.91386971292801833"/>
          <c:h val="0.51327099737532811"/>
        </c:manualLayout>
      </c:layout>
      <c:barChart>
        <c:barDir val="col"/>
        <c:grouping val="stacked"/>
        <c:varyColors val="0"/>
        <c:ser>
          <c:idx val="0"/>
          <c:order val="0"/>
          <c:tx>
            <c:strRef>
              <c:f>'Matches win by team'!$B$3:$B$4</c:f>
              <c:strCache>
                <c:ptCount val="1"/>
                <c:pt idx="0">
                  <c:v>bat</c:v>
                </c:pt>
              </c:strCache>
            </c:strRef>
          </c:tx>
          <c:spPr>
            <a:solidFill>
              <a:srgbClr val="0422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team'!$A$5:$A$14</c:f>
              <c:strCache>
                <c:ptCount val="9"/>
                <c:pt idx="0">
                  <c:v>Chennai Super Kings</c:v>
                </c:pt>
                <c:pt idx="1">
                  <c:v>Mumbai Indians</c:v>
                </c:pt>
                <c:pt idx="2">
                  <c:v>Royal Challengers Bangalore</c:v>
                </c:pt>
                <c:pt idx="3">
                  <c:v>Sunrisers Hyderabad</c:v>
                </c:pt>
                <c:pt idx="4">
                  <c:v>Rajasthan Royals</c:v>
                </c:pt>
                <c:pt idx="5">
                  <c:v>Kolkata Knight Riders</c:v>
                </c:pt>
                <c:pt idx="6">
                  <c:v>Delhi Capitals</c:v>
                </c:pt>
                <c:pt idx="7">
                  <c:v>Kings XI Punjab</c:v>
                </c:pt>
                <c:pt idx="8">
                  <c:v>NA</c:v>
                </c:pt>
              </c:strCache>
            </c:strRef>
          </c:cat>
          <c:val>
            <c:numRef>
              <c:f>'Matches win by team'!$B$5:$B$14</c:f>
              <c:numCache>
                <c:formatCode>General</c:formatCode>
                <c:ptCount val="9"/>
                <c:pt idx="0">
                  <c:v>6</c:v>
                </c:pt>
                <c:pt idx="1">
                  <c:v>6</c:v>
                </c:pt>
                <c:pt idx="2">
                  <c:v>3</c:v>
                </c:pt>
                <c:pt idx="3">
                  <c:v>2</c:v>
                </c:pt>
                <c:pt idx="4">
                  <c:v>3</c:v>
                </c:pt>
                <c:pt idx="5">
                  <c:v>2</c:v>
                </c:pt>
                <c:pt idx="6">
                  <c:v>3</c:v>
                </c:pt>
              </c:numCache>
            </c:numRef>
          </c:val>
          <c:extLst>
            <c:ext xmlns:c16="http://schemas.microsoft.com/office/drawing/2014/chart" uri="{C3380CC4-5D6E-409C-BE32-E72D297353CC}">
              <c16:uniqueId val="{00000000-908C-4550-BAB0-C138898CAB7A}"/>
            </c:ext>
          </c:extLst>
        </c:ser>
        <c:ser>
          <c:idx val="1"/>
          <c:order val="1"/>
          <c:tx>
            <c:strRef>
              <c:f>'Matches win by team'!$C$3:$C$4</c:f>
              <c:strCache>
                <c:ptCount val="1"/>
                <c:pt idx="0">
                  <c:v>field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team'!$A$5:$A$14</c:f>
              <c:strCache>
                <c:ptCount val="9"/>
                <c:pt idx="0">
                  <c:v>Chennai Super Kings</c:v>
                </c:pt>
                <c:pt idx="1">
                  <c:v>Mumbai Indians</c:v>
                </c:pt>
                <c:pt idx="2">
                  <c:v>Royal Challengers Bangalore</c:v>
                </c:pt>
                <c:pt idx="3">
                  <c:v>Sunrisers Hyderabad</c:v>
                </c:pt>
                <c:pt idx="4">
                  <c:v>Rajasthan Royals</c:v>
                </c:pt>
                <c:pt idx="5">
                  <c:v>Kolkata Knight Riders</c:v>
                </c:pt>
                <c:pt idx="6">
                  <c:v>Delhi Capitals</c:v>
                </c:pt>
                <c:pt idx="7">
                  <c:v>Kings XI Punjab</c:v>
                </c:pt>
                <c:pt idx="8">
                  <c:v>NA</c:v>
                </c:pt>
              </c:strCache>
            </c:strRef>
          </c:cat>
          <c:val>
            <c:numRef>
              <c:f>'Matches win by team'!$C$5:$C$14</c:f>
              <c:numCache>
                <c:formatCode>General</c:formatCode>
                <c:ptCount val="9"/>
                <c:pt idx="0">
                  <c:v>4</c:v>
                </c:pt>
                <c:pt idx="1">
                  <c:v>4</c:v>
                </c:pt>
                <c:pt idx="2">
                  <c:v>5</c:v>
                </c:pt>
                <c:pt idx="3">
                  <c:v>5</c:v>
                </c:pt>
                <c:pt idx="4">
                  <c:v>4</c:v>
                </c:pt>
                <c:pt idx="5">
                  <c:v>5</c:v>
                </c:pt>
                <c:pt idx="6">
                  <c:v>2</c:v>
                </c:pt>
                <c:pt idx="7">
                  <c:v>3</c:v>
                </c:pt>
                <c:pt idx="8">
                  <c:v>2</c:v>
                </c:pt>
              </c:numCache>
            </c:numRef>
          </c:val>
          <c:extLst>
            <c:ext xmlns:c16="http://schemas.microsoft.com/office/drawing/2014/chart" uri="{C3380CC4-5D6E-409C-BE32-E72D297353CC}">
              <c16:uniqueId val="{00000001-908C-4550-BAB0-C138898CAB7A}"/>
            </c:ext>
          </c:extLst>
        </c:ser>
        <c:dLbls>
          <c:dLblPos val="ctr"/>
          <c:showLegendKey val="0"/>
          <c:showVal val="1"/>
          <c:showCatName val="0"/>
          <c:showSerName val="0"/>
          <c:showPercent val="0"/>
          <c:showBubbleSize val="0"/>
        </c:dLbls>
        <c:gapWidth val="99"/>
        <c:overlap val="100"/>
        <c:axId val="519086143"/>
        <c:axId val="519087391"/>
      </c:barChart>
      <c:catAx>
        <c:axId val="519086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087391"/>
        <c:crosses val="autoZero"/>
        <c:auto val="1"/>
        <c:lblAlgn val="ctr"/>
        <c:lblOffset val="100"/>
        <c:noMultiLvlLbl val="0"/>
      </c:catAx>
      <c:valAx>
        <c:axId val="5190873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Matches win</a:t>
                </a:r>
              </a:p>
            </c:rich>
          </c:tx>
          <c:layout>
            <c:manualLayout>
              <c:xMode val="edge"/>
              <c:yMode val="edge"/>
              <c:x val="1.0732904017172647E-2"/>
              <c:y val="0.3441823417906095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0861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0">
          <a:schemeClr val="accent1">
            <a:lumMod val="5000"/>
            <a:lumOff val="95000"/>
          </a:schemeClr>
        </a:gs>
        <a:gs pos="64000">
          <a:schemeClr val="accent1">
            <a:lumMod val="45000"/>
            <a:lumOff val="55000"/>
          </a:schemeClr>
        </a:gs>
        <a:gs pos="55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[matches.xlsx]Toss Based Decision!Toss Based</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Toss</a:t>
            </a:r>
            <a:r>
              <a:rPr lang="en-US" b="1" baseline="0"/>
              <a:t> Decision Based Winning %</a:t>
            </a:r>
            <a:endParaRPr lang="en-US" b="1"/>
          </a:p>
        </c:rich>
      </c:tx>
      <c:layout>
        <c:manualLayout>
          <c:xMode val="edge"/>
          <c:yMode val="edge"/>
          <c:x val="0.22305555555555562"/>
          <c:y val="5.916447944006999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rgbClr val="042280"/>
          </a:solidFill>
          <a:ln w="19050">
            <a:solidFill>
              <a:schemeClr val="lt1"/>
            </a:solidFill>
          </a:ln>
          <a:effectLst/>
        </c:spPr>
      </c:pivotFmt>
      <c:pivotFmt>
        <c:idx val="2"/>
        <c:spPr>
          <a:solidFill>
            <a:schemeClr val="accent1">
              <a:lumMod val="60000"/>
              <a:lumOff val="40000"/>
            </a:schemeClr>
          </a:solidFill>
          <a:ln w="19050">
            <a:solidFill>
              <a:schemeClr val="lt1"/>
            </a:solidFill>
          </a:ln>
          <a:effectLst/>
        </c:spPr>
      </c:pivotFmt>
      <c:pivotFmt>
        <c:idx val="3"/>
        <c:spPr>
          <a:solidFill>
            <a:schemeClr val="accent1">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42280"/>
          </a:solidFill>
          <a:ln w="19050">
            <a:solidFill>
              <a:schemeClr val="lt1"/>
            </a:solidFill>
          </a:ln>
          <a:effectLst/>
        </c:spPr>
        <c:dLbl>
          <c:idx val="0"/>
          <c:layout>
            <c:manualLayout>
              <c:x val="-9.999989063867018E-2"/>
              <c:y val="5.5555737824438609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095822397200347"/>
                  <c:h val="8.3264071157771929E-2"/>
                </c:manualLayout>
              </c15:layout>
            </c:ext>
          </c:extLst>
        </c:dLbl>
      </c:pivotFmt>
      <c:pivotFmt>
        <c:idx val="5"/>
        <c:spPr>
          <a:solidFill>
            <a:schemeClr val="accent1">
              <a:lumMod val="60000"/>
              <a:lumOff val="40000"/>
            </a:schemeClr>
          </a:solidFill>
          <a:ln w="19050">
            <a:solidFill>
              <a:schemeClr val="lt1"/>
            </a:solidFill>
          </a:ln>
          <a:effectLst/>
        </c:spPr>
        <c:dLbl>
          <c:idx val="0"/>
          <c:layout>
            <c:manualLayout>
              <c:x val="6.9444444444444337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376771653543311"/>
          <c:y val="0.19677165354330706"/>
          <c:w val="0.4496227034120735"/>
          <c:h val="0.74937117235345585"/>
        </c:manualLayout>
      </c:layout>
      <c:doughnutChart>
        <c:varyColors val="1"/>
        <c:ser>
          <c:idx val="0"/>
          <c:order val="0"/>
          <c:tx>
            <c:strRef>
              <c:f>'Toss Based Decision'!$B$3</c:f>
              <c:strCache>
                <c:ptCount val="1"/>
                <c:pt idx="0">
                  <c:v>Total</c:v>
                </c:pt>
              </c:strCache>
            </c:strRef>
          </c:tx>
          <c:spPr>
            <a:solidFill>
              <a:schemeClr val="accent1">
                <a:lumMod val="60000"/>
                <a:lumOff val="40000"/>
              </a:schemeClr>
            </a:solidFill>
          </c:spPr>
          <c:dPt>
            <c:idx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2-3F0F-4BDC-8509-A5B233AF7EC2}"/>
              </c:ext>
            </c:extLst>
          </c:dPt>
          <c:dPt>
            <c:idx val="1"/>
            <c:bubble3D val="0"/>
            <c:spPr>
              <a:solidFill>
                <a:srgbClr val="042280"/>
              </a:solidFill>
              <a:ln w="19050">
                <a:solidFill>
                  <a:schemeClr val="lt1"/>
                </a:solidFill>
              </a:ln>
              <a:effectLst/>
            </c:spPr>
            <c:extLst>
              <c:ext xmlns:c16="http://schemas.microsoft.com/office/drawing/2014/chart" uri="{C3380CC4-5D6E-409C-BE32-E72D297353CC}">
                <c16:uniqueId val="{00000001-3F0F-4BDC-8509-A5B233AF7EC2}"/>
              </c:ext>
            </c:extLst>
          </c:dPt>
          <c:dLbls>
            <c:dLbl>
              <c:idx val="0"/>
              <c:layout>
                <c:manualLayout>
                  <c:x val="6.9444444444444337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F0F-4BDC-8509-A5B233AF7EC2}"/>
                </c:ext>
              </c:extLst>
            </c:dLbl>
            <c:dLbl>
              <c:idx val="1"/>
              <c:layout>
                <c:manualLayout>
                  <c:x val="-9.999989063867018E-2"/>
                  <c:y val="5.5555737824438609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095822397200347"/>
                      <c:h val="8.3264071157771929E-2"/>
                    </c:manualLayout>
                  </c15:layout>
                </c:ext>
                <c:ext xmlns:c16="http://schemas.microsoft.com/office/drawing/2014/chart" uri="{C3380CC4-5D6E-409C-BE32-E72D297353CC}">
                  <c16:uniqueId val="{00000001-3F0F-4BDC-8509-A5B233AF7EC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Based Decision'!$A$4:$A$6</c:f>
              <c:strCache>
                <c:ptCount val="2"/>
                <c:pt idx="0">
                  <c:v>bat</c:v>
                </c:pt>
                <c:pt idx="1">
                  <c:v>field</c:v>
                </c:pt>
              </c:strCache>
            </c:strRef>
          </c:cat>
          <c:val>
            <c:numRef>
              <c:f>'Toss Based Decision'!$B$4:$B$6</c:f>
              <c:numCache>
                <c:formatCode>0.00%</c:formatCode>
                <c:ptCount val="2"/>
                <c:pt idx="0">
                  <c:v>0.42372881355932202</c:v>
                </c:pt>
                <c:pt idx="1">
                  <c:v>0.57627118644067798</c:v>
                </c:pt>
              </c:numCache>
            </c:numRef>
          </c:val>
          <c:extLst>
            <c:ext xmlns:c16="http://schemas.microsoft.com/office/drawing/2014/chart" uri="{C3380CC4-5D6E-409C-BE32-E72D297353CC}">
              <c16:uniqueId val="{00000000-3F0F-4BDC-8509-A5B233AF7EC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egendEntry>
        <c:idx val="0"/>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8334120734908137"/>
          <c:y val="0.35675743657042869"/>
          <c:w val="0.11084379687996063"/>
          <c:h val="0.1873857873029029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0">
          <a:schemeClr val="accent1">
            <a:lumMod val="5000"/>
            <a:lumOff val="95000"/>
          </a:schemeClr>
        </a:gs>
        <a:gs pos="100000">
          <a:schemeClr val="accent1">
            <a:lumMod val="45000"/>
            <a:lumOff val="55000"/>
          </a:schemeClr>
        </a:gs>
        <a:gs pos="7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[matches.xlsx]Top 10 Venues!Top 10 venues</c:name>
    <c:fmtId val="2"/>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IN" sz="1200" b="1"/>
              <a:t>Top</a:t>
            </a:r>
            <a:r>
              <a:rPr lang="en-IN" sz="1200" b="1" baseline="0"/>
              <a:t> 10 Venues with most matches and Winning Based on Bat first and Field first</a:t>
            </a:r>
            <a:endParaRPr lang="en-IN" sz="1200" b="1"/>
          </a:p>
        </c:rich>
      </c:tx>
      <c:layout>
        <c:manualLayout>
          <c:xMode val="edge"/>
          <c:yMode val="edge"/>
          <c:x val="9.7555555555555562E-2"/>
          <c:y val="2.2500803600128575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42280"/>
          </a:solidFill>
          <a:ln>
            <a:noFill/>
          </a:ln>
          <a:effectLst/>
          <a:sp3d/>
        </c:spPr>
        <c:marker>
          <c:symbol val="none"/>
        </c:marker>
      </c:pivotFmt>
      <c:pivotFmt>
        <c:idx val="1"/>
        <c:spPr>
          <a:solidFill>
            <a:schemeClr val="accent1">
              <a:lumMod val="60000"/>
              <a:lumOff val="40000"/>
            </a:schemeClr>
          </a:solidFill>
          <a:ln>
            <a:noFill/>
          </a:ln>
          <a:effectLst/>
          <a:sp3d/>
        </c:spPr>
        <c:marker>
          <c:symbol val="none"/>
        </c:marker>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331A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2194313210848644"/>
          <c:y val="0.15937605968124788"/>
          <c:w val="0.52380227471566054"/>
          <c:h val="0.70749081871034203"/>
        </c:manualLayout>
      </c:layout>
      <c:bar3DChart>
        <c:barDir val="bar"/>
        <c:grouping val="stacked"/>
        <c:varyColors val="0"/>
        <c:ser>
          <c:idx val="0"/>
          <c:order val="0"/>
          <c:tx>
            <c:strRef>
              <c:f>'Top 10 Venues'!$B$3:$B$4</c:f>
              <c:strCache>
                <c:ptCount val="1"/>
                <c:pt idx="0">
                  <c:v>bat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Venues'!$A$5:$A$16</c:f>
              <c:strCache>
                <c:ptCount val="11"/>
                <c:pt idx="0">
                  <c:v>Wankhede Stadium</c:v>
                </c:pt>
                <c:pt idx="1">
                  <c:v>M Chinnaswamy Stadium</c:v>
                </c:pt>
                <c:pt idx="2">
                  <c:v>Eden Gardens</c:v>
                </c:pt>
                <c:pt idx="3">
                  <c:v>MA Chidambaram Stadium, Chepauk</c:v>
                </c:pt>
                <c:pt idx="4">
                  <c:v>Feroz Shah Kotla</c:v>
                </c:pt>
                <c:pt idx="5">
                  <c:v>Rajiv Gandhi International Stadium, Uppal</c:v>
                </c:pt>
                <c:pt idx="6">
                  <c:v>Sardar Patel Stadium, Motera</c:v>
                </c:pt>
                <c:pt idx="7">
                  <c:v>Maharashtra Cricket Association Stadium</c:v>
                </c:pt>
                <c:pt idx="8">
                  <c:v>Punjab Cricket Association Stadium, Mohali</c:v>
                </c:pt>
                <c:pt idx="9">
                  <c:v>Brabourne Stadium</c:v>
                </c:pt>
                <c:pt idx="10">
                  <c:v>Dr. Y.S. Rajasekhara Reddy ACA-VDCA Cricket Stadium</c:v>
                </c:pt>
              </c:strCache>
            </c:strRef>
          </c:cat>
          <c:val>
            <c:numRef>
              <c:f>'Top 10 Venues'!$B$5:$B$16</c:f>
              <c:numCache>
                <c:formatCode>General</c:formatCode>
                <c:ptCount val="11"/>
                <c:pt idx="0">
                  <c:v>5</c:v>
                </c:pt>
                <c:pt idx="2">
                  <c:v>2</c:v>
                </c:pt>
                <c:pt idx="3">
                  <c:v>5</c:v>
                </c:pt>
                <c:pt idx="5">
                  <c:v>3</c:v>
                </c:pt>
                <c:pt idx="6">
                  <c:v>2</c:v>
                </c:pt>
                <c:pt idx="7">
                  <c:v>2</c:v>
                </c:pt>
                <c:pt idx="8">
                  <c:v>2</c:v>
                </c:pt>
                <c:pt idx="9">
                  <c:v>1</c:v>
                </c:pt>
                <c:pt idx="10">
                  <c:v>1</c:v>
                </c:pt>
              </c:numCache>
            </c:numRef>
          </c:val>
          <c:extLst>
            <c:ext xmlns:c16="http://schemas.microsoft.com/office/drawing/2014/chart" uri="{C3380CC4-5D6E-409C-BE32-E72D297353CC}">
              <c16:uniqueId val="{00000000-F3E3-4518-AF97-CAB8A6F90035}"/>
            </c:ext>
          </c:extLst>
        </c:ser>
        <c:ser>
          <c:idx val="1"/>
          <c:order val="1"/>
          <c:tx>
            <c:strRef>
              <c:f>'Top 10 Venues'!$C$3:$C$4</c:f>
              <c:strCache>
                <c:ptCount val="1"/>
                <c:pt idx="0">
                  <c:v>field</c:v>
                </c:pt>
              </c:strCache>
            </c:strRef>
          </c:tx>
          <c:spPr>
            <a:solidFill>
              <a:srgbClr val="0331A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Venues'!$A$5:$A$16</c:f>
              <c:strCache>
                <c:ptCount val="11"/>
                <c:pt idx="0">
                  <c:v>Wankhede Stadium</c:v>
                </c:pt>
                <c:pt idx="1">
                  <c:v>M Chinnaswamy Stadium</c:v>
                </c:pt>
                <c:pt idx="2">
                  <c:v>Eden Gardens</c:v>
                </c:pt>
                <c:pt idx="3">
                  <c:v>MA Chidambaram Stadium, Chepauk</c:v>
                </c:pt>
                <c:pt idx="4">
                  <c:v>Feroz Shah Kotla</c:v>
                </c:pt>
                <c:pt idx="5">
                  <c:v>Rajiv Gandhi International Stadium, Uppal</c:v>
                </c:pt>
                <c:pt idx="6">
                  <c:v>Sardar Patel Stadium, Motera</c:v>
                </c:pt>
                <c:pt idx="7">
                  <c:v>Maharashtra Cricket Association Stadium</c:v>
                </c:pt>
                <c:pt idx="8">
                  <c:v>Punjab Cricket Association Stadium, Mohali</c:v>
                </c:pt>
                <c:pt idx="9">
                  <c:v>Brabourne Stadium</c:v>
                </c:pt>
                <c:pt idx="10">
                  <c:v>Dr. Y.S. Rajasekhara Reddy ACA-VDCA Cricket Stadium</c:v>
                </c:pt>
              </c:strCache>
            </c:strRef>
          </c:cat>
          <c:val>
            <c:numRef>
              <c:f>'Top 10 Venues'!$C$5:$C$16</c:f>
              <c:numCache>
                <c:formatCode>General</c:formatCode>
                <c:ptCount val="11"/>
                <c:pt idx="0">
                  <c:v>3</c:v>
                </c:pt>
                <c:pt idx="1">
                  <c:v>7</c:v>
                </c:pt>
                <c:pt idx="2">
                  <c:v>5</c:v>
                </c:pt>
                <c:pt idx="3">
                  <c:v>2</c:v>
                </c:pt>
                <c:pt idx="4">
                  <c:v>5</c:v>
                </c:pt>
                <c:pt idx="5">
                  <c:v>1</c:v>
                </c:pt>
                <c:pt idx="6">
                  <c:v>2</c:v>
                </c:pt>
                <c:pt idx="7">
                  <c:v>2</c:v>
                </c:pt>
                <c:pt idx="8">
                  <c:v>2</c:v>
                </c:pt>
                <c:pt idx="9">
                  <c:v>2</c:v>
                </c:pt>
                <c:pt idx="10">
                  <c:v>2</c:v>
                </c:pt>
              </c:numCache>
            </c:numRef>
          </c:val>
          <c:extLst>
            <c:ext xmlns:c16="http://schemas.microsoft.com/office/drawing/2014/chart" uri="{C3380CC4-5D6E-409C-BE32-E72D297353CC}">
              <c16:uniqueId val="{00000001-F3E3-4518-AF97-CAB8A6F90035}"/>
            </c:ext>
          </c:extLst>
        </c:ser>
        <c:dLbls>
          <c:showLegendKey val="0"/>
          <c:showVal val="1"/>
          <c:showCatName val="0"/>
          <c:showSerName val="0"/>
          <c:showPercent val="0"/>
          <c:showBubbleSize val="0"/>
        </c:dLbls>
        <c:gapWidth val="150"/>
        <c:shape val="box"/>
        <c:axId val="1132477647"/>
        <c:axId val="1206025055"/>
        <c:axId val="0"/>
      </c:bar3DChart>
      <c:catAx>
        <c:axId val="11324776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025055"/>
        <c:crosses val="autoZero"/>
        <c:auto val="1"/>
        <c:lblAlgn val="ctr"/>
        <c:lblOffset val="100"/>
        <c:noMultiLvlLbl val="0"/>
      </c:catAx>
      <c:valAx>
        <c:axId val="1206025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Number</a:t>
                </a:r>
                <a:r>
                  <a:rPr lang="en-IN" baseline="0">
                    <a:solidFill>
                      <a:schemeClr val="tx1"/>
                    </a:solidFill>
                  </a:rPr>
                  <a:t> of matches</a:t>
                </a:r>
                <a:endParaRPr lang="en-IN">
                  <a:solidFill>
                    <a:schemeClr val="tx1"/>
                  </a:solidFill>
                </a:endParaRPr>
              </a:p>
            </c:rich>
          </c:tx>
          <c:layout>
            <c:manualLayout>
              <c:xMode val="edge"/>
              <c:yMode val="edge"/>
              <c:x val="0.52163013998250218"/>
              <c:y val="0.9159793670921317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477647"/>
        <c:crosses val="autoZero"/>
        <c:crossBetween val="between"/>
      </c:valAx>
      <c:spPr>
        <a:noFill/>
        <a:ln>
          <a:noFill/>
        </a:ln>
        <a:effectLst/>
      </c:spPr>
    </c:plotArea>
    <c:legend>
      <c:legendPos val="r"/>
      <c:layout>
        <c:manualLayout>
          <c:xMode val="edge"/>
          <c:yMode val="edge"/>
          <c:x val="0.77785651793525812"/>
          <c:y val="0.1131213347608309"/>
          <c:w val="0.15547681539807523"/>
          <c:h val="3.645383594598996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0">
          <a:schemeClr val="accent1">
            <a:lumMod val="5000"/>
            <a:lumOff val="95000"/>
          </a:schemeClr>
        </a:gs>
        <a:gs pos="8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mn-lt"/>
                <a:ea typeface="+mn-ea"/>
                <a:cs typeface="+mn-cs"/>
              </a:defRPr>
            </a:pPr>
            <a:r>
              <a:rPr lang="en-IN"/>
              <a:t>Top 10 MoM Award Winners</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MoM!$F$5</c:f>
              <c:strCache>
                <c:ptCount val="1"/>
                <c:pt idx="0">
                  <c:v>MOM WON</c:v>
                </c:pt>
              </c:strCache>
            </c:strRef>
          </c:tx>
          <c:spPr>
            <a:solidFill>
              <a:schemeClr val="accent1">
                <a:lumMod val="60000"/>
                <a:lumOff val="40000"/>
              </a:schemeClr>
            </a:solidFill>
            <a:ln w="6350">
              <a:solidFill>
                <a:srgbClr val="042280"/>
              </a:solidFill>
            </a:ln>
            <a:effectLst/>
            <a:sp3d contourW="6350">
              <a:contourClr>
                <a:srgbClr val="042280"/>
              </a:contourClr>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MoM!$E$6:$E$15</c:f>
              <c:strCache>
                <c:ptCount val="10"/>
                <c:pt idx="0">
                  <c:v>DA Warner</c:v>
                </c:pt>
                <c:pt idx="1">
                  <c:v>AM Rahane</c:v>
                </c:pt>
                <c:pt idx="2">
                  <c:v>AD Russell</c:v>
                </c:pt>
                <c:pt idx="3">
                  <c:v>A Nehra</c:v>
                </c:pt>
                <c:pt idx="4">
                  <c:v>SK Raina</c:v>
                </c:pt>
                <c:pt idx="5">
                  <c:v>HH Pandya</c:v>
                </c:pt>
                <c:pt idx="6">
                  <c:v>Harbhajan Singh</c:v>
                </c:pt>
                <c:pt idx="7">
                  <c:v>BB McCullum</c:v>
                </c:pt>
                <c:pt idx="8">
                  <c:v>NA</c:v>
                </c:pt>
                <c:pt idx="9">
                  <c:v>CH Gayle</c:v>
                </c:pt>
              </c:strCache>
            </c:strRef>
          </c:cat>
          <c:val>
            <c:numRef>
              <c:f>MoM!$F$6:$F$15</c:f>
              <c:numCache>
                <c:formatCode>General</c:formatCode>
                <c:ptCount val="10"/>
                <c:pt idx="0">
                  <c:v>4</c:v>
                </c:pt>
                <c:pt idx="1">
                  <c:v>3</c:v>
                </c:pt>
                <c:pt idx="2">
                  <c:v>3</c:v>
                </c:pt>
                <c:pt idx="3">
                  <c:v>3</c:v>
                </c:pt>
                <c:pt idx="4">
                  <c:v>2</c:v>
                </c:pt>
                <c:pt idx="5">
                  <c:v>2</c:v>
                </c:pt>
                <c:pt idx="6">
                  <c:v>2</c:v>
                </c:pt>
                <c:pt idx="7">
                  <c:v>2</c:v>
                </c:pt>
                <c:pt idx="8">
                  <c:v>2</c:v>
                </c:pt>
                <c:pt idx="9">
                  <c:v>2</c:v>
                </c:pt>
              </c:numCache>
            </c:numRef>
          </c:val>
          <c:extLst>
            <c:ext xmlns:c16="http://schemas.microsoft.com/office/drawing/2014/chart" uri="{C3380CC4-5D6E-409C-BE32-E72D297353CC}">
              <c16:uniqueId val="{00000000-6FEC-49CA-ADB9-BE1D49996AA8}"/>
            </c:ext>
          </c:extLst>
        </c:ser>
        <c:dLbls>
          <c:showLegendKey val="0"/>
          <c:showVal val="1"/>
          <c:showCatName val="0"/>
          <c:showSerName val="0"/>
          <c:showPercent val="0"/>
          <c:showBubbleSize val="0"/>
        </c:dLbls>
        <c:gapWidth val="150"/>
        <c:shape val="box"/>
        <c:axId val="1341756256"/>
        <c:axId val="1341756672"/>
        <c:axId val="0"/>
      </c:bar3DChart>
      <c:catAx>
        <c:axId val="1341756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41756672"/>
        <c:crosses val="autoZero"/>
        <c:auto val="1"/>
        <c:lblAlgn val="ctr"/>
        <c:lblOffset val="100"/>
        <c:noMultiLvlLbl val="0"/>
      </c:catAx>
      <c:valAx>
        <c:axId val="1341756672"/>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No of Times MoM Winner</a:t>
                </a:r>
              </a:p>
            </c:rich>
          </c:tx>
          <c:layout>
            <c:manualLayout>
              <c:xMode val="edge"/>
              <c:yMode val="edge"/>
              <c:x val="2.6404120179841568E-2"/>
              <c:y val="0.22609725867599884"/>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756256"/>
        <c:crosses val="autoZero"/>
        <c:crossBetween val="between"/>
      </c:valAx>
      <c:spPr>
        <a:noFill/>
        <a:ln>
          <a:solidFill>
            <a:srgbClr val="042280">
              <a:alpha val="0"/>
            </a:srgbClr>
          </a:solidFill>
        </a:ln>
        <a:effectLst/>
      </c:spPr>
    </c:plotArea>
    <c:plotVisOnly val="1"/>
    <c:dispBlanksAs val="gap"/>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sz="900"/>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[matches.xlsx]Count of Winners!PivotTable3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Count of Winners</a:t>
            </a:r>
          </a:p>
        </c:rich>
      </c:tx>
      <c:layout>
        <c:manualLayout>
          <c:xMode val="edge"/>
          <c:yMode val="edge"/>
          <c:x val="0.35892344706911639"/>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manualLayout>
          <c:layoutTarget val="inner"/>
          <c:xMode val="edge"/>
          <c:yMode val="edge"/>
          <c:x val="0.10045384951881013"/>
          <c:y val="0.18962671332750072"/>
          <c:w val="0.44769794400699914"/>
          <c:h val="0.74616324001166523"/>
        </c:manualLayout>
      </c:layout>
      <c:pieChart>
        <c:varyColors val="1"/>
        <c:ser>
          <c:idx val="0"/>
          <c:order val="0"/>
          <c:tx>
            <c:strRef>
              <c:f>'Count of Winners'!$B$3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2D2-48C2-899D-224FDB4C69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2D2-48C2-899D-224FDB4C69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2D2-48C2-899D-224FDB4C693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2D2-48C2-899D-224FDB4C693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2D2-48C2-899D-224FDB4C693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2D2-48C2-899D-224FDB4C693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2D2-48C2-899D-224FDB4C693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2D2-48C2-899D-224FDB4C693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2D2-48C2-899D-224FDB4C693F}"/>
              </c:ext>
            </c:extLst>
          </c:dPt>
          <c:dLbls>
            <c:delete val="1"/>
          </c:dLbls>
          <c:cat>
            <c:strRef>
              <c:f>'Count of Winners'!$A$4:$A$13</c:f>
              <c:strCache>
                <c:ptCount val="9"/>
                <c:pt idx="0">
                  <c:v>Chennai Super Kings</c:v>
                </c:pt>
                <c:pt idx="1">
                  <c:v>Mumbai Indians</c:v>
                </c:pt>
                <c:pt idx="2">
                  <c:v>Royal Challengers Bangalore</c:v>
                </c:pt>
                <c:pt idx="3">
                  <c:v>Sunrisers Hyderabad</c:v>
                </c:pt>
                <c:pt idx="4">
                  <c:v>Rajasthan Royals</c:v>
                </c:pt>
                <c:pt idx="5">
                  <c:v>Kolkata Knight Riders</c:v>
                </c:pt>
                <c:pt idx="6">
                  <c:v>Delhi Capitals</c:v>
                </c:pt>
                <c:pt idx="7">
                  <c:v>Kings XI Punjab</c:v>
                </c:pt>
                <c:pt idx="8">
                  <c:v>NA</c:v>
                </c:pt>
              </c:strCache>
            </c:strRef>
          </c:cat>
          <c:val>
            <c:numRef>
              <c:f>'Count of Winners'!$B$4:$B$13</c:f>
              <c:numCache>
                <c:formatCode>General</c:formatCode>
                <c:ptCount val="9"/>
                <c:pt idx="0">
                  <c:v>10</c:v>
                </c:pt>
                <c:pt idx="1">
                  <c:v>10</c:v>
                </c:pt>
                <c:pt idx="2">
                  <c:v>8</c:v>
                </c:pt>
                <c:pt idx="3">
                  <c:v>7</c:v>
                </c:pt>
                <c:pt idx="4">
                  <c:v>7</c:v>
                </c:pt>
                <c:pt idx="5">
                  <c:v>7</c:v>
                </c:pt>
                <c:pt idx="6">
                  <c:v>5</c:v>
                </c:pt>
                <c:pt idx="7">
                  <c:v>3</c:v>
                </c:pt>
                <c:pt idx="8">
                  <c:v>2</c:v>
                </c:pt>
              </c:numCache>
            </c:numRef>
          </c:val>
          <c:extLst>
            <c:ext xmlns:c16="http://schemas.microsoft.com/office/drawing/2014/chart" uri="{C3380CC4-5D6E-409C-BE32-E72D297353CC}">
              <c16:uniqueId val="{00000000-DABD-4045-BF02-97A1FB29D21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0">
          <a:schemeClr val="accent1">
            <a:lumMod val="5000"/>
            <a:lumOff val="95000"/>
          </a:schemeClr>
        </a:gs>
        <a:gs pos="74000">
          <a:schemeClr val="accent1">
            <a:lumMod val="45000"/>
            <a:lumOff val="55000"/>
          </a:schemeClr>
        </a:gs>
        <a:gs pos="51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[matches.xlsx]Matches win by team!Matches win by team</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Match</a:t>
            </a:r>
            <a:r>
              <a:rPr lang="en-IN" b="1" baseline="0"/>
              <a:t> win by team with Bat first and Field first since </a:t>
            </a:r>
            <a:endParaRPr lang="en-IN"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42280"/>
          </a:solidFill>
          <a:ln>
            <a:noFill/>
          </a:ln>
          <a:effectLst/>
        </c:spPr>
        <c:marker>
          <c:symbol val="none"/>
        </c:marker>
      </c:pivotFmt>
      <c:pivotFmt>
        <c:idx val="1"/>
        <c:spPr>
          <a:solidFill>
            <a:schemeClr val="accent1">
              <a:lumMod val="75000"/>
            </a:schemeClr>
          </a:solidFill>
          <a:ln>
            <a:noFill/>
          </a:ln>
          <a:effectLst/>
        </c:spPr>
        <c:marker>
          <c:symbol val="none"/>
        </c:marker>
      </c:pivotFmt>
      <c:pivotFmt>
        <c:idx val="2"/>
        <c:spPr>
          <a:solidFill>
            <a:srgbClr val="0422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4228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4228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lumMod val="60000"/>
              <a:lumOff val="4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7.2330839049902576E-2"/>
          <c:y val="0.27761628754738993"/>
          <c:w val="0.91386971292801833"/>
          <c:h val="0.51327099737532811"/>
        </c:manualLayout>
      </c:layout>
      <c:barChart>
        <c:barDir val="col"/>
        <c:grouping val="stacked"/>
        <c:varyColors val="0"/>
        <c:ser>
          <c:idx val="0"/>
          <c:order val="0"/>
          <c:tx>
            <c:strRef>
              <c:f>'Matches win by team'!$B$3:$B$4</c:f>
              <c:strCache>
                <c:ptCount val="1"/>
                <c:pt idx="0">
                  <c:v>bat</c:v>
                </c:pt>
              </c:strCache>
            </c:strRef>
          </c:tx>
          <c:spPr>
            <a:solidFill>
              <a:srgbClr val="04228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'Matches win by team'!$A$5:$A$14</c:f>
              <c:strCache>
                <c:ptCount val="9"/>
                <c:pt idx="0">
                  <c:v>Chennai Super Kings</c:v>
                </c:pt>
                <c:pt idx="1">
                  <c:v>Mumbai Indians</c:v>
                </c:pt>
                <c:pt idx="2">
                  <c:v>Royal Challengers Bangalore</c:v>
                </c:pt>
                <c:pt idx="3">
                  <c:v>Sunrisers Hyderabad</c:v>
                </c:pt>
                <c:pt idx="4">
                  <c:v>Rajasthan Royals</c:v>
                </c:pt>
                <c:pt idx="5">
                  <c:v>Kolkata Knight Riders</c:v>
                </c:pt>
                <c:pt idx="6">
                  <c:v>Delhi Capitals</c:v>
                </c:pt>
                <c:pt idx="7">
                  <c:v>Kings XI Punjab</c:v>
                </c:pt>
                <c:pt idx="8">
                  <c:v>NA</c:v>
                </c:pt>
              </c:strCache>
            </c:strRef>
          </c:cat>
          <c:val>
            <c:numRef>
              <c:f>'Matches win by team'!$B$5:$B$14</c:f>
              <c:numCache>
                <c:formatCode>General</c:formatCode>
                <c:ptCount val="9"/>
                <c:pt idx="0">
                  <c:v>6</c:v>
                </c:pt>
                <c:pt idx="1">
                  <c:v>6</c:v>
                </c:pt>
                <c:pt idx="2">
                  <c:v>3</c:v>
                </c:pt>
                <c:pt idx="3">
                  <c:v>2</c:v>
                </c:pt>
                <c:pt idx="4">
                  <c:v>3</c:v>
                </c:pt>
                <c:pt idx="5">
                  <c:v>2</c:v>
                </c:pt>
                <c:pt idx="6">
                  <c:v>3</c:v>
                </c:pt>
              </c:numCache>
            </c:numRef>
          </c:val>
          <c:extLst>
            <c:ext xmlns:c16="http://schemas.microsoft.com/office/drawing/2014/chart" uri="{C3380CC4-5D6E-409C-BE32-E72D297353CC}">
              <c16:uniqueId val="{00000000-58A5-4BE0-A642-9AC9BEB55A75}"/>
            </c:ext>
          </c:extLst>
        </c:ser>
        <c:ser>
          <c:idx val="1"/>
          <c:order val="1"/>
          <c:tx>
            <c:strRef>
              <c:f>'Matches win by team'!$C$3:$C$4</c:f>
              <c:strCache>
                <c:ptCount val="1"/>
                <c:pt idx="0">
                  <c:v>field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'Matches win by team'!$A$5:$A$14</c:f>
              <c:strCache>
                <c:ptCount val="9"/>
                <c:pt idx="0">
                  <c:v>Chennai Super Kings</c:v>
                </c:pt>
                <c:pt idx="1">
                  <c:v>Mumbai Indians</c:v>
                </c:pt>
                <c:pt idx="2">
                  <c:v>Royal Challengers Bangalore</c:v>
                </c:pt>
                <c:pt idx="3">
                  <c:v>Sunrisers Hyderabad</c:v>
                </c:pt>
                <c:pt idx="4">
                  <c:v>Rajasthan Royals</c:v>
                </c:pt>
                <c:pt idx="5">
                  <c:v>Kolkata Knight Riders</c:v>
                </c:pt>
                <c:pt idx="6">
                  <c:v>Delhi Capitals</c:v>
                </c:pt>
                <c:pt idx="7">
                  <c:v>Kings XI Punjab</c:v>
                </c:pt>
                <c:pt idx="8">
                  <c:v>NA</c:v>
                </c:pt>
              </c:strCache>
            </c:strRef>
          </c:cat>
          <c:val>
            <c:numRef>
              <c:f>'Matches win by team'!$C$5:$C$14</c:f>
              <c:numCache>
                <c:formatCode>General</c:formatCode>
                <c:ptCount val="9"/>
                <c:pt idx="0">
                  <c:v>4</c:v>
                </c:pt>
                <c:pt idx="1">
                  <c:v>4</c:v>
                </c:pt>
                <c:pt idx="2">
                  <c:v>5</c:v>
                </c:pt>
                <c:pt idx="3">
                  <c:v>5</c:v>
                </c:pt>
                <c:pt idx="4">
                  <c:v>4</c:v>
                </c:pt>
                <c:pt idx="5">
                  <c:v>5</c:v>
                </c:pt>
                <c:pt idx="6">
                  <c:v>2</c:v>
                </c:pt>
                <c:pt idx="7">
                  <c:v>3</c:v>
                </c:pt>
                <c:pt idx="8">
                  <c:v>2</c:v>
                </c:pt>
              </c:numCache>
            </c:numRef>
          </c:val>
          <c:extLst>
            <c:ext xmlns:c16="http://schemas.microsoft.com/office/drawing/2014/chart" uri="{C3380CC4-5D6E-409C-BE32-E72D297353CC}">
              <c16:uniqueId val="{00000001-58A5-4BE0-A642-9AC9BEB55A75}"/>
            </c:ext>
          </c:extLst>
        </c:ser>
        <c:dLbls>
          <c:dLblPos val="ctr"/>
          <c:showLegendKey val="0"/>
          <c:showVal val="1"/>
          <c:showCatName val="0"/>
          <c:showSerName val="0"/>
          <c:showPercent val="0"/>
          <c:showBubbleSize val="0"/>
        </c:dLbls>
        <c:gapWidth val="99"/>
        <c:overlap val="100"/>
        <c:axId val="519086143"/>
        <c:axId val="519087391"/>
      </c:barChart>
      <c:catAx>
        <c:axId val="519086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087391"/>
        <c:crosses val="autoZero"/>
        <c:auto val="1"/>
        <c:lblAlgn val="ctr"/>
        <c:lblOffset val="100"/>
        <c:noMultiLvlLbl val="0"/>
      </c:catAx>
      <c:valAx>
        <c:axId val="5190873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Matches win</a:t>
                </a:r>
              </a:p>
            </c:rich>
          </c:tx>
          <c:layout>
            <c:manualLayout>
              <c:xMode val="edge"/>
              <c:yMode val="edge"/>
              <c:x val="1.0732904017172647E-2"/>
              <c:y val="0.3441823417906095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086143"/>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0">
          <a:schemeClr val="accent1">
            <a:lumMod val="5000"/>
            <a:lumOff val="95000"/>
          </a:schemeClr>
        </a:gs>
        <a:gs pos="64000">
          <a:schemeClr val="accent1">
            <a:lumMod val="45000"/>
            <a:lumOff val="55000"/>
          </a:schemeClr>
        </a:gs>
        <a:gs pos="55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[matches.xlsx]Toss Based Decision!Toss Based</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Toss</a:t>
            </a:r>
            <a:r>
              <a:rPr lang="en-US" b="1" baseline="0"/>
              <a:t> Decision Based Winning %</a:t>
            </a:r>
            <a:endParaRPr lang="en-US" b="1"/>
          </a:p>
        </c:rich>
      </c:tx>
      <c:layout>
        <c:manualLayout>
          <c:xMode val="edge"/>
          <c:yMode val="edge"/>
          <c:x val="0.22305555555555562"/>
          <c:y val="5.916447944006999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rgbClr val="042280"/>
          </a:solidFill>
          <a:ln w="19050">
            <a:solidFill>
              <a:schemeClr val="lt1"/>
            </a:solidFill>
          </a:ln>
          <a:effectLst/>
        </c:spPr>
      </c:pivotFmt>
      <c:pivotFmt>
        <c:idx val="2"/>
        <c:spPr>
          <a:solidFill>
            <a:schemeClr val="accent1">
              <a:lumMod val="60000"/>
              <a:lumOff val="40000"/>
            </a:schemeClr>
          </a:solidFill>
          <a:ln w="19050">
            <a:solidFill>
              <a:schemeClr val="lt1"/>
            </a:solidFill>
          </a:ln>
          <a:effectLst/>
        </c:spPr>
      </c:pivotFmt>
      <c:pivotFmt>
        <c:idx val="3"/>
        <c:spPr>
          <a:solidFill>
            <a:schemeClr val="accent1">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42280"/>
          </a:solidFill>
          <a:ln w="19050">
            <a:solidFill>
              <a:schemeClr val="lt1"/>
            </a:solidFill>
          </a:ln>
          <a:effectLst/>
        </c:spPr>
        <c:dLbl>
          <c:idx val="0"/>
          <c:layout>
            <c:manualLayout>
              <c:x val="-9.999989063867018E-2"/>
              <c:y val="5.5555737824438609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095822397200347"/>
                  <c:h val="8.3264071157771929E-2"/>
                </c:manualLayout>
              </c15:layout>
            </c:ext>
          </c:extLst>
        </c:dLbl>
      </c:pivotFmt>
      <c:pivotFmt>
        <c:idx val="5"/>
        <c:spPr>
          <a:solidFill>
            <a:schemeClr val="accent1">
              <a:lumMod val="60000"/>
              <a:lumOff val="40000"/>
            </a:schemeClr>
          </a:solidFill>
          <a:ln w="19050">
            <a:solidFill>
              <a:schemeClr val="lt1"/>
            </a:solidFill>
          </a:ln>
          <a:effectLst/>
        </c:spPr>
        <c:dLbl>
          <c:idx val="0"/>
          <c:layout>
            <c:manualLayout>
              <c:x val="6.9444444444444337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w="19050">
            <a:solidFill>
              <a:schemeClr val="lt1"/>
            </a:solidFill>
          </a:ln>
          <a:effectLst/>
        </c:spPr>
        <c:dLbl>
          <c:idx val="0"/>
          <c:layout>
            <c:manualLayout>
              <c:x val="6.9444444444444337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42280"/>
          </a:solidFill>
          <a:ln w="19050">
            <a:solidFill>
              <a:schemeClr val="lt1"/>
            </a:solidFill>
          </a:ln>
          <a:effectLst/>
        </c:spPr>
        <c:dLbl>
          <c:idx val="0"/>
          <c:layout>
            <c:manualLayout>
              <c:x val="-9.999989063867018E-2"/>
              <c:y val="5.5555737824438609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095822397200347"/>
                  <c:h val="8.3264071157771929E-2"/>
                </c:manualLayout>
              </c15:layout>
            </c:ext>
          </c:extLst>
        </c:dLbl>
      </c:pivotFmt>
      <c:pivotFmt>
        <c:idx val="9"/>
        <c:spPr>
          <a:solidFill>
            <a:schemeClr val="accent1">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60000"/>
              <a:lumOff val="40000"/>
            </a:schemeClr>
          </a:solidFill>
          <a:ln w="19050">
            <a:solidFill>
              <a:schemeClr val="lt1"/>
            </a:solidFill>
          </a:ln>
          <a:effectLst/>
        </c:spPr>
        <c:dLbl>
          <c:idx val="0"/>
          <c:layout>
            <c:manualLayout>
              <c:x val="6.9444444444444337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rgbClr val="042280"/>
          </a:solidFill>
          <a:ln w="19050">
            <a:solidFill>
              <a:schemeClr val="lt1"/>
            </a:solidFill>
          </a:ln>
          <a:effectLst/>
        </c:spPr>
        <c:dLbl>
          <c:idx val="0"/>
          <c:layout>
            <c:manualLayout>
              <c:x val="-0.17345273290986435"/>
              <c:y val="7.5358413805765634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051368578927633"/>
                  <c:h val="8.3264329861993044E-2"/>
                </c:manualLayout>
              </c15:layout>
            </c:ext>
          </c:extLst>
        </c:dLbl>
      </c:pivotFmt>
    </c:pivotFmts>
    <c:plotArea>
      <c:layout>
        <c:manualLayout>
          <c:layoutTarget val="inner"/>
          <c:xMode val="edge"/>
          <c:yMode val="edge"/>
          <c:x val="0.24376771653543311"/>
          <c:y val="0.19677165354330706"/>
          <c:w val="0.4496227034120735"/>
          <c:h val="0.74937117235345585"/>
        </c:manualLayout>
      </c:layout>
      <c:doughnutChart>
        <c:varyColors val="1"/>
        <c:ser>
          <c:idx val="0"/>
          <c:order val="0"/>
          <c:tx>
            <c:strRef>
              <c:f>'Toss Based Decision'!$B$3</c:f>
              <c:strCache>
                <c:ptCount val="1"/>
                <c:pt idx="0">
                  <c:v>Total</c:v>
                </c:pt>
              </c:strCache>
            </c:strRef>
          </c:tx>
          <c:spPr>
            <a:solidFill>
              <a:schemeClr val="accent1">
                <a:lumMod val="60000"/>
                <a:lumOff val="40000"/>
              </a:schemeClr>
            </a:solidFill>
          </c:spPr>
          <c:dPt>
            <c:idx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1-DC76-4976-B4D5-B63261D58BA2}"/>
              </c:ext>
            </c:extLst>
          </c:dPt>
          <c:dPt>
            <c:idx val="1"/>
            <c:bubble3D val="0"/>
            <c:spPr>
              <a:solidFill>
                <a:srgbClr val="042280"/>
              </a:solidFill>
              <a:ln w="19050">
                <a:solidFill>
                  <a:schemeClr val="lt1"/>
                </a:solidFill>
              </a:ln>
              <a:effectLst/>
            </c:spPr>
            <c:extLst>
              <c:ext xmlns:c16="http://schemas.microsoft.com/office/drawing/2014/chart" uri="{C3380CC4-5D6E-409C-BE32-E72D297353CC}">
                <c16:uniqueId val="{00000003-DC76-4976-B4D5-B63261D58BA2}"/>
              </c:ext>
            </c:extLst>
          </c:dPt>
          <c:dLbls>
            <c:dLbl>
              <c:idx val="0"/>
              <c:layout>
                <c:manualLayout>
                  <c:x val="6.9444444444444337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DC76-4976-B4D5-B63261D58BA2}"/>
                </c:ext>
              </c:extLst>
            </c:dLbl>
            <c:dLbl>
              <c:idx val="1"/>
              <c:layout>
                <c:manualLayout>
                  <c:x val="-0.17345273290986435"/>
                  <c:y val="7.5358413805765634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051368578927633"/>
                      <c:h val="8.3264329861993044E-2"/>
                    </c:manualLayout>
                  </c15:layout>
                </c:ext>
                <c:ext xmlns:c16="http://schemas.microsoft.com/office/drawing/2014/chart" uri="{C3380CC4-5D6E-409C-BE32-E72D297353CC}">
                  <c16:uniqueId val="{00000003-DC76-4976-B4D5-B63261D58BA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Based Decision'!$A$4:$A$6</c:f>
              <c:strCache>
                <c:ptCount val="2"/>
                <c:pt idx="0">
                  <c:v>bat</c:v>
                </c:pt>
                <c:pt idx="1">
                  <c:v>field</c:v>
                </c:pt>
              </c:strCache>
            </c:strRef>
          </c:cat>
          <c:val>
            <c:numRef>
              <c:f>'Toss Based Decision'!$B$4:$B$6</c:f>
              <c:numCache>
                <c:formatCode>0.00%</c:formatCode>
                <c:ptCount val="2"/>
                <c:pt idx="0">
                  <c:v>0.42372881355932202</c:v>
                </c:pt>
                <c:pt idx="1">
                  <c:v>0.57627118644067798</c:v>
                </c:pt>
              </c:numCache>
            </c:numRef>
          </c:val>
          <c:extLst>
            <c:ext xmlns:c16="http://schemas.microsoft.com/office/drawing/2014/chart" uri="{C3380CC4-5D6E-409C-BE32-E72D297353CC}">
              <c16:uniqueId val="{00000004-DC76-4976-B4D5-B63261D58BA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egendEntry>
        <c:idx val="0"/>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74582181118343682"/>
          <c:y val="0.71815017978039664"/>
          <c:w val="0.19009215530434898"/>
          <c:h val="0.1873857873029029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0">
          <a:schemeClr val="accent1">
            <a:lumMod val="5000"/>
            <a:lumOff val="95000"/>
          </a:schemeClr>
        </a:gs>
        <a:gs pos="100000">
          <a:schemeClr val="accent1">
            <a:lumMod val="45000"/>
            <a:lumOff val="55000"/>
          </a:schemeClr>
        </a:gs>
        <a:gs pos="7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[matches.xlsx]Top 10 Venues!Top 10 venues</c:name>
    <c:fmtId val="5"/>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IN" sz="1200" b="1"/>
              <a:t>Top</a:t>
            </a:r>
            <a:r>
              <a:rPr lang="en-IN" sz="1200" b="1" baseline="0"/>
              <a:t> 10 Venues with most matches and Winning Based on Bat first and Field first</a:t>
            </a:r>
            <a:endParaRPr lang="en-IN" sz="1200" b="1"/>
          </a:p>
        </c:rich>
      </c:tx>
      <c:layout>
        <c:manualLayout>
          <c:xMode val="edge"/>
          <c:yMode val="edge"/>
          <c:x val="9.7555555555555562E-2"/>
          <c:y val="2.2500803600128575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42280"/>
          </a:solidFill>
          <a:ln>
            <a:noFill/>
          </a:ln>
          <a:effectLst/>
          <a:sp3d/>
        </c:spPr>
        <c:marker>
          <c:symbol val="none"/>
        </c:marker>
      </c:pivotFmt>
      <c:pivotFmt>
        <c:idx val="1"/>
        <c:spPr>
          <a:solidFill>
            <a:schemeClr val="accent1">
              <a:lumMod val="60000"/>
              <a:lumOff val="40000"/>
            </a:schemeClr>
          </a:solidFill>
          <a:ln>
            <a:noFill/>
          </a:ln>
          <a:effectLst/>
          <a:sp3d/>
        </c:spPr>
        <c:marker>
          <c:symbol val="none"/>
        </c:marker>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331A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331A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rgbClr val="0331A5"/>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2194313210848644"/>
          <c:y val="0.15937605968124788"/>
          <c:w val="0.52380227471566054"/>
          <c:h val="0.70749081871034203"/>
        </c:manualLayout>
      </c:layout>
      <c:bar3DChart>
        <c:barDir val="bar"/>
        <c:grouping val="stacked"/>
        <c:varyColors val="0"/>
        <c:ser>
          <c:idx val="0"/>
          <c:order val="0"/>
          <c:tx>
            <c:strRef>
              <c:f>'Top 10 Venues'!$B$3:$B$4</c:f>
              <c:strCache>
                <c:ptCount val="1"/>
                <c:pt idx="0">
                  <c:v>bat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'Top 10 Venues'!$A$5:$A$16</c:f>
              <c:strCache>
                <c:ptCount val="11"/>
                <c:pt idx="0">
                  <c:v>Wankhede Stadium</c:v>
                </c:pt>
                <c:pt idx="1">
                  <c:v>M Chinnaswamy Stadium</c:v>
                </c:pt>
                <c:pt idx="2">
                  <c:v>Eden Gardens</c:v>
                </c:pt>
                <c:pt idx="3">
                  <c:v>MA Chidambaram Stadium, Chepauk</c:v>
                </c:pt>
                <c:pt idx="4">
                  <c:v>Feroz Shah Kotla</c:v>
                </c:pt>
                <c:pt idx="5">
                  <c:v>Rajiv Gandhi International Stadium, Uppal</c:v>
                </c:pt>
                <c:pt idx="6">
                  <c:v>Sardar Patel Stadium, Motera</c:v>
                </c:pt>
                <c:pt idx="7">
                  <c:v>Maharashtra Cricket Association Stadium</c:v>
                </c:pt>
                <c:pt idx="8">
                  <c:v>Punjab Cricket Association Stadium, Mohali</c:v>
                </c:pt>
                <c:pt idx="9">
                  <c:v>Brabourne Stadium</c:v>
                </c:pt>
                <c:pt idx="10">
                  <c:v>Dr. Y.S. Rajasekhara Reddy ACA-VDCA Cricket Stadium</c:v>
                </c:pt>
              </c:strCache>
            </c:strRef>
          </c:cat>
          <c:val>
            <c:numRef>
              <c:f>'Top 10 Venues'!$B$5:$B$16</c:f>
              <c:numCache>
                <c:formatCode>General</c:formatCode>
                <c:ptCount val="11"/>
                <c:pt idx="0">
                  <c:v>5</c:v>
                </c:pt>
                <c:pt idx="2">
                  <c:v>2</c:v>
                </c:pt>
                <c:pt idx="3">
                  <c:v>5</c:v>
                </c:pt>
                <c:pt idx="5">
                  <c:v>3</c:v>
                </c:pt>
                <c:pt idx="6">
                  <c:v>2</c:v>
                </c:pt>
                <c:pt idx="7">
                  <c:v>2</c:v>
                </c:pt>
                <c:pt idx="8">
                  <c:v>2</c:v>
                </c:pt>
                <c:pt idx="9">
                  <c:v>1</c:v>
                </c:pt>
                <c:pt idx="10">
                  <c:v>1</c:v>
                </c:pt>
              </c:numCache>
            </c:numRef>
          </c:val>
          <c:extLst>
            <c:ext xmlns:c16="http://schemas.microsoft.com/office/drawing/2014/chart" uri="{C3380CC4-5D6E-409C-BE32-E72D297353CC}">
              <c16:uniqueId val="{00000000-D009-4A81-BDA8-5B4D88B4CAF5}"/>
            </c:ext>
          </c:extLst>
        </c:ser>
        <c:ser>
          <c:idx val="1"/>
          <c:order val="1"/>
          <c:tx>
            <c:strRef>
              <c:f>'Top 10 Venues'!$C$3:$C$4</c:f>
              <c:strCache>
                <c:ptCount val="1"/>
                <c:pt idx="0">
                  <c:v>field</c:v>
                </c:pt>
              </c:strCache>
            </c:strRef>
          </c:tx>
          <c:spPr>
            <a:solidFill>
              <a:srgbClr val="0331A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'Top 10 Venues'!$A$5:$A$16</c:f>
              <c:strCache>
                <c:ptCount val="11"/>
                <c:pt idx="0">
                  <c:v>Wankhede Stadium</c:v>
                </c:pt>
                <c:pt idx="1">
                  <c:v>M Chinnaswamy Stadium</c:v>
                </c:pt>
                <c:pt idx="2">
                  <c:v>Eden Gardens</c:v>
                </c:pt>
                <c:pt idx="3">
                  <c:v>MA Chidambaram Stadium, Chepauk</c:v>
                </c:pt>
                <c:pt idx="4">
                  <c:v>Feroz Shah Kotla</c:v>
                </c:pt>
                <c:pt idx="5">
                  <c:v>Rajiv Gandhi International Stadium, Uppal</c:v>
                </c:pt>
                <c:pt idx="6">
                  <c:v>Sardar Patel Stadium, Motera</c:v>
                </c:pt>
                <c:pt idx="7">
                  <c:v>Maharashtra Cricket Association Stadium</c:v>
                </c:pt>
                <c:pt idx="8">
                  <c:v>Punjab Cricket Association Stadium, Mohali</c:v>
                </c:pt>
                <c:pt idx="9">
                  <c:v>Brabourne Stadium</c:v>
                </c:pt>
                <c:pt idx="10">
                  <c:v>Dr. Y.S. Rajasekhara Reddy ACA-VDCA Cricket Stadium</c:v>
                </c:pt>
              </c:strCache>
            </c:strRef>
          </c:cat>
          <c:val>
            <c:numRef>
              <c:f>'Top 10 Venues'!$C$5:$C$16</c:f>
              <c:numCache>
                <c:formatCode>General</c:formatCode>
                <c:ptCount val="11"/>
                <c:pt idx="0">
                  <c:v>3</c:v>
                </c:pt>
                <c:pt idx="1">
                  <c:v>7</c:v>
                </c:pt>
                <c:pt idx="2">
                  <c:v>5</c:v>
                </c:pt>
                <c:pt idx="3">
                  <c:v>2</c:v>
                </c:pt>
                <c:pt idx="4">
                  <c:v>5</c:v>
                </c:pt>
                <c:pt idx="5">
                  <c:v>1</c:v>
                </c:pt>
                <c:pt idx="6">
                  <c:v>2</c:v>
                </c:pt>
                <c:pt idx="7">
                  <c:v>2</c:v>
                </c:pt>
                <c:pt idx="8">
                  <c:v>2</c:v>
                </c:pt>
                <c:pt idx="9">
                  <c:v>2</c:v>
                </c:pt>
                <c:pt idx="10">
                  <c:v>2</c:v>
                </c:pt>
              </c:numCache>
            </c:numRef>
          </c:val>
          <c:extLst>
            <c:ext xmlns:c16="http://schemas.microsoft.com/office/drawing/2014/chart" uri="{C3380CC4-5D6E-409C-BE32-E72D297353CC}">
              <c16:uniqueId val="{00000001-D009-4A81-BDA8-5B4D88B4CAF5}"/>
            </c:ext>
          </c:extLst>
        </c:ser>
        <c:dLbls>
          <c:showLegendKey val="0"/>
          <c:showVal val="1"/>
          <c:showCatName val="0"/>
          <c:showSerName val="0"/>
          <c:showPercent val="0"/>
          <c:showBubbleSize val="0"/>
        </c:dLbls>
        <c:gapWidth val="150"/>
        <c:shape val="box"/>
        <c:axId val="1132477647"/>
        <c:axId val="1206025055"/>
        <c:axId val="0"/>
      </c:bar3DChart>
      <c:catAx>
        <c:axId val="11324776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025055"/>
        <c:crosses val="autoZero"/>
        <c:auto val="1"/>
        <c:lblAlgn val="ctr"/>
        <c:lblOffset val="100"/>
        <c:noMultiLvlLbl val="0"/>
      </c:catAx>
      <c:valAx>
        <c:axId val="1206025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Number</a:t>
                </a:r>
                <a:r>
                  <a:rPr lang="en-IN" baseline="0">
                    <a:solidFill>
                      <a:schemeClr val="tx1"/>
                    </a:solidFill>
                  </a:rPr>
                  <a:t> of matches</a:t>
                </a:r>
                <a:endParaRPr lang="en-IN">
                  <a:solidFill>
                    <a:schemeClr val="tx1"/>
                  </a:solidFill>
                </a:endParaRPr>
              </a:p>
            </c:rich>
          </c:tx>
          <c:layout>
            <c:manualLayout>
              <c:xMode val="edge"/>
              <c:yMode val="edge"/>
              <c:x val="0.52163013998250218"/>
              <c:y val="0.9159793670921317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477647"/>
        <c:crosses val="autoZero"/>
        <c:crossBetween val="between"/>
      </c:valAx>
      <c:spPr>
        <a:noFill/>
        <a:ln>
          <a:noFill/>
        </a:ln>
        <a:effectLst/>
      </c:spPr>
    </c:plotArea>
    <c:legend>
      <c:legendPos val="r"/>
      <c:layout>
        <c:manualLayout>
          <c:xMode val="edge"/>
          <c:yMode val="edge"/>
          <c:x val="0.77785651793525812"/>
          <c:y val="0.1131213347608309"/>
          <c:w val="0.15547681539807523"/>
          <c:h val="3.645383594598996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0">
          <a:schemeClr val="accent1">
            <a:lumMod val="5000"/>
            <a:lumOff val="95000"/>
          </a:schemeClr>
        </a:gs>
        <a:gs pos="8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a:t>Top 10 MoM Award Winners</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MoM!$F$5</c:f>
              <c:strCache>
                <c:ptCount val="1"/>
                <c:pt idx="0">
                  <c:v>MOM WON</c:v>
                </c:pt>
              </c:strCache>
            </c:strRef>
          </c:tx>
          <c:spPr>
            <a:solidFill>
              <a:schemeClr val="accent1">
                <a:lumMod val="60000"/>
                <a:lumOff val="40000"/>
              </a:schemeClr>
            </a:solidFill>
            <a:ln w="6350">
              <a:solidFill>
                <a:srgbClr val="042280"/>
              </a:solidFill>
            </a:ln>
            <a:effectLst/>
            <a:sp3d contourW="6350">
              <a:contourClr>
                <a:srgbClr val="042280"/>
              </a:contourClr>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MoM!$E$6:$E$15</c:f>
              <c:strCache>
                <c:ptCount val="10"/>
                <c:pt idx="0">
                  <c:v>DA Warner</c:v>
                </c:pt>
                <c:pt idx="1">
                  <c:v>AM Rahane</c:v>
                </c:pt>
                <c:pt idx="2">
                  <c:v>AD Russell</c:v>
                </c:pt>
                <c:pt idx="3">
                  <c:v>A Nehra</c:v>
                </c:pt>
                <c:pt idx="4">
                  <c:v>SK Raina</c:v>
                </c:pt>
                <c:pt idx="5">
                  <c:v>HH Pandya</c:v>
                </c:pt>
                <c:pt idx="6">
                  <c:v>Harbhajan Singh</c:v>
                </c:pt>
                <c:pt idx="7">
                  <c:v>BB McCullum</c:v>
                </c:pt>
                <c:pt idx="8">
                  <c:v>NA</c:v>
                </c:pt>
                <c:pt idx="9">
                  <c:v>CH Gayle</c:v>
                </c:pt>
              </c:strCache>
            </c:strRef>
          </c:cat>
          <c:val>
            <c:numRef>
              <c:f>MoM!$F$6:$F$15</c:f>
              <c:numCache>
                <c:formatCode>General</c:formatCode>
                <c:ptCount val="10"/>
                <c:pt idx="0">
                  <c:v>4</c:v>
                </c:pt>
                <c:pt idx="1">
                  <c:v>3</c:v>
                </c:pt>
                <c:pt idx="2">
                  <c:v>3</c:v>
                </c:pt>
                <c:pt idx="3">
                  <c:v>3</c:v>
                </c:pt>
                <c:pt idx="4">
                  <c:v>2</c:v>
                </c:pt>
                <c:pt idx="5">
                  <c:v>2</c:v>
                </c:pt>
                <c:pt idx="6">
                  <c:v>2</c:v>
                </c:pt>
                <c:pt idx="7">
                  <c:v>2</c:v>
                </c:pt>
                <c:pt idx="8">
                  <c:v>2</c:v>
                </c:pt>
                <c:pt idx="9">
                  <c:v>2</c:v>
                </c:pt>
              </c:numCache>
            </c:numRef>
          </c:val>
          <c:extLst>
            <c:ext xmlns:c16="http://schemas.microsoft.com/office/drawing/2014/chart" uri="{C3380CC4-5D6E-409C-BE32-E72D297353CC}">
              <c16:uniqueId val="{00000000-1E13-43AB-9FA7-EF98B938E071}"/>
            </c:ext>
          </c:extLst>
        </c:ser>
        <c:dLbls>
          <c:showLegendKey val="0"/>
          <c:showVal val="1"/>
          <c:showCatName val="0"/>
          <c:showSerName val="0"/>
          <c:showPercent val="0"/>
          <c:showBubbleSize val="0"/>
        </c:dLbls>
        <c:gapWidth val="150"/>
        <c:shape val="box"/>
        <c:axId val="1341756256"/>
        <c:axId val="1341756672"/>
        <c:axId val="0"/>
      </c:bar3DChart>
      <c:catAx>
        <c:axId val="1341756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1341756672"/>
        <c:crosses val="autoZero"/>
        <c:auto val="1"/>
        <c:lblAlgn val="ctr"/>
        <c:lblOffset val="100"/>
        <c:noMultiLvlLbl val="0"/>
      </c:catAx>
      <c:valAx>
        <c:axId val="1341756672"/>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No of Times MoM Winner</a:t>
                </a:r>
              </a:p>
            </c:rich>
          </c:tx>
          <c:layout>
            <c:manualLayout>
              <c:xMode val="edge"/>
              <c:yMode val="edge"/>
              <c:x val="2.6404120179841568E-2"/>
              <c:y val="0.22609725867599884"/>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756256"/>
        <c:crosses val="autoZero"/>
        <c:crossBetween val="between"/>
      </c:valAx>
      <c:spPr>
        <a:noFill/>
        <a:ln>
          <a:solidFill>
            <a:srgbClr val="042280">
              <a:alpha val="0"/>
            </a:srgbClr>
          </a:solidFill>
        </a:ln>
        <a:effectLst/>
      </c:spPr>
    </c:plotArea>
    <c:plotVisOnly val="1"/>
    <c:dispBlanksAs val="gap"/>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sz="900"/>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[matches.xlsx]Count of Winners!PivotTable3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Count of Winners</a:t>
            </a:r>
          </a:p>
        </c:rich>
      </c:tx>
      <c:layout>
        <c:manualLayout>
          <c:xMode val="edge"/>
          <c:yMode val="edge"/>
          <c:x val="0.35892344706911639"/>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s>
    <c:plotArea>
      <c:layout>
        <c:manualLayout>
          <c:layoutTarget val="inner"/>
          <c:xMode val="edge"/>
          <c:yMode val="edge"/>
          <c:x val="0.10045384951881013"/>
          <c:y val="0.18962671332750072"/>
          <c:w val="0.44769794400699914"/>
          <c:h val="0.74616324001166523"/>
        </c:manualLayout>
      </c:layout>
      <c:pieChart>
        <c:varyColors val="1"/>
        <c:ser>
          <c:idx val="0"/>
          <c:order val="0"/>
          <c:tx>
            <c:strRef>
              <c:f>'Count of Winners'!$B$3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7E-4AEB-8739-8FD518E4CB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7E-4AEB-8739-8FD518E4CB2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D7E-4AEB-8739-8FD518E4CB2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D7E-4AEB-8739-8FD518E4CB2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D7E-4AEB-8739-8FD518E4CB2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D7E-4AEB-8739-8FD518E4CB2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D7E-4AEB-8739-8FD518E4CB2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D7E-4AEB-8739-8FD518E4CB2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D7E-4AEB-8739-8FD518E4CB2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D7E-4AEB-8739-8FD518E4CB21}"/>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'Count of Winners'!$A$4:$A$13</c:f>
              <c:strCache>
                <c:ptCount val="9"/>
                <c:pt idx="0">
                  <c:v>Chennai Super Kings</c:v>
                </c:pt>
                <c:pt idx="1">
                  <c:v>Mumbai Indians</c:v>
                </c:pt>
                <c:pt idx="2">
                  <c:v>Royal Challengers Bangalore</c:v>
                </c:pt>
                <c:pt idx="3">
                  <c:v>Sunrisers Hyderabad</c:v>
                </c:pt>
                <c:pt idx="4">
                  <c:v>Rajasthan Royals</c:v>
                </c:pt>
                <c:pt idx="5">
                  <c:v>Kolkata Knight Riders</c:v>
                </c:pt>
                <c:pt idx="6">
                  <c:v>Delhi Capitals</c:v>
                </c:pt>
                <c:pt idx="7">
                  <c:v>Kings XI Punjab</c:v>
                </c:pt>
                <c:pt idx="8">
                  <c:v>NA</c:v>
                </c:pt>
              </c:strCache>
            </c:strRef>
          </c:cat>
          <c:val>
            <c:numRef>
              <c:f>'Count of Winners'!$B$4:$B$13</c:f>
              <c:numCache>
                <c:formatCode>General</c:formatCode>
                <c:ptCount val="9"/>
                <c:pt idx="0">
                  <c:v>10</c:v>
                </c:pt>
                <c:pt idx="1">
                  <c:v>10</c:v>
                </c:pt>
                <c:pt idx="2">
                  <c:v>8</c:v>
                </c:pt>
                <c:pt idx="3">
                  <c:v>7</c:v>
                </c:pt>
                <c:pt idx="4">
                  <c:v>7</c:v>
                </c:pt>
                <c:pt idx="5">
                  <c:v>7</c:v>
                </c:pt>
                <c:pt idx="6">
                  <c:v>5</c:v>
                </c:pt>
                <c:pt idx="7">
                  <c:v>3</c:v>
                </c:pt>
                <c:pt idx="8">
                  <c:v>2</c:v>
                </c:pt>
              </c:numCache>
            </c:numRef>
          </c:val>
          <c:extLst>
            <c:ext xmlns:c16="http://schemas.microsoft.com/office/drawing/2014/chart" uri="{C3380CC4-5D6E-409C-BE32-E72D297353CC}">
              <c16:uniqueId val="{00000014-FD7E-4AEB-8739-8FD518E4CB2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0">
          <a:schemeClr val="accent1">
            <a:lumMod val="5000"/>
            <a:lumOff val="95000"/>
          </a:schemeClr>
        </a:gs>
        <a:gs pos="74000">
          <a:schemeClr val="accent1">
            <a:lumMod val="45000"/>
            <a:lumOff val="55000"/>
          </a:schemeClr>
        </a:gs>
        <a:gs pos="51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wrap="square" lIns="0" tIns="0" rIns="0" bIns="0" anchor="ctr" anchorCtr="1"/>
          <a:lstStyle/>
          <a:p>
            <a:pPr algn="ctr">
              <a:defRPr/>
            </a:pPr>
            <a:r>
              <a:rPr lang="en-US"/>
              <a:t>Title Winners</a:t>
            </a:r>
          </a:p>
        </cx:rich>
      </cx:tx>
    </cx:title>
    <cx:plotArea>
      <cx:plotAreaRegion>
        <cx:series layoutId="treemap" uniqueId="{7ED9E5D2-430A-4EC2-BB9D-42760A0128F1}">
          <cx:dataLabels>
            <cx:txPr>
              <a:bodyPr spcFirstLastPara="1" vertOverflow="ellipsis" wrap="square" lIns="0" tIns="0" rIns="0" bIns="0" anchor="ctr" anchorCtr="1">
                <a:spAutoFit/>
              </a:bodyPr>
              <a:lstStyle/>
              <a:p>
                <a:pPr>
                  <a:defRPr sz="1050"/>
                </a:pPr>
                <a:endParaRPr lang="en-US" sz="1050"/>
              </a:p>
            </cx:txPr>
            <cx:visibility seriesName="0" categoryName="1" value="1"/>
            <cx:separator>
</cx:separator>
          </cx:dataLabels>
          <cx:dataId val="0"/>
          <cx:layoutPr>
            <cx:parentLabelLayout val="overlapping"/>
          </cx:layoutPr>
        </cx:series>
      </cx:plotAreaRegion>
    </cx:plotArea>
    <cx:legend pos="b" align="ctr" overlay="0">
      <cx:txPr>
        <a:bodyPr spcFirstLastPara="1" vertOverflow="ellipsis" wrap="square" lIns="0" tIns="0" rIns="0" bIns="0" anchor="ctr" anchorCtr="1"/>
        <a:lstStyle/>
        <a:p>
          <a:pPr>
            <a:defRPr sz="1000"/>
          </a:pPr>
          <a:endParaRPr lang="en-US" sz="1000"/>
        </a:p>
      </cx:txPr>
    </cx:legend>
  </cx:chart>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5">
  <cs:axisTitle>
    <cs:lnRef idx="0"/>
    <cs:fillRef idx="0"/>
    <cs:effectRef idx="0"/>
    <cs:fontRef idx="minor">
      <a:schemeClr val="tx1">
        <a:lumMod val="65000"/>
        <a:lumOff val="3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lt1">
        <a:lumMod val="95000"/>
      </a:schemeClr>
    </cs:fontRef>
    <cs:spPr>
      <a:solidFill>
        <a:schemeClr val="lt1"/>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lt1">
        <a:lumMod val="9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lt1">
        <a:lumMod val="9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avif"/><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4</xdr:col>
      <xdr:colOff>129540</xdr:colOff>
      <xdr:row>8</xdr:row>
      <xdr:rowOff>26670</xdr:rowOff>
    </xdr:from>
    <xdr:to>
      <xdr:col>17</xdr:col>
      <xdr:colOff>487680</xdr:colOff>
      <xdr:row>23</xdr:row>
      <xdr:rowOff>26670</xdr:rowOff>
    </xdr:to>
    <xdr:graphicFrame macro="">
      <xdr:nvGraphicFramePr>
        <xdr:cNvPr id="2" name="Matches win by team"/>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952500</xdr:colOff>
      <xdr:row>14</xdr:row>
      <xdr:rowOff>121920</xdr:rowOff>
    </xdr:from>
    <xdr:to>
      <xdr:col>2</xdr:col>
      <xdr:colOff>45720</xdr:colOff>
      <xdr:row>28</xdr:row>
      <xdr:rowOff>28575</xdr:rowOff>
    </xdr:to>
    <mc:AlternateContent xmlns:mc="http://schemas.openxmlformats.org/markup-compatibility/2006" xmlns:a14="http://schemas.microsoft.com/office/drawing/2010/main">
      <mc:Choice Requires="a14">
        <xdr:graphicFrame macro="">
          <xdr:nvGraphicFramePr>
            <xdr:cNvPr id="3" name="season 3"/>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mlns="">
        <xdr:sp macro="" textlink="">
          <xdr:nvSpPr>
            <xdr:cNvPr id="0" name=""/>
            <xdr:cNvSpPr>
              <a:spLocks noTextEdit="1"/>
            </xdr:cNvSpPr>
          </xdr:nvSpPr>
          <xdr:spPr>
            <a:xfrm>
              <a:off x="952500" y="2682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201930</xdr:colOff>
      <xdr:row>7</xdr:row>
      <xdr:rowOff>118110</xdr:rowOff>
    </xdr:from>
    <xdr:to>
      <xdr:col>9</xdr:col>
      <xdr:colOff>60960</xdr:colOff>
      <xdr:row>21</xdr:row>
      <xdr:rowOff>91440</xdr:rowOff>
    </xdr:to>
    <xdr:graphicFrame macro="">
      <xdr:nvGraphicFramePr>
        <xdr:cNvPr id="3" name="Toss Based"/>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346710</xdr:colOff>
      <xdr:row>6</xdr:row>
      <xdr:rowOff>118110</xdr:rowOff>
    </xdr:from>
    <xdr:to>
      <xdr:col>12</xdr:col>
      <xdr:colOff>41910</xdr:colOff>
      <xdr:row>28</xdr:row>
      <xdr:rowOff>45720</xdr:rowOff>
    </xdr:to>
    <xdr:graphicFrame macro="">
      <xdr:nvGraphicFramePr>
        <xdr:cNvPr id="3" name="Top 10 venue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1295400</xdr:colOff>
      <xdr:row>16</xdr:row>
      <xdr:rowOff>22860</xdr:rowOff>
    </xdr:from>
    <xdr:to>
      <xdr:col>0</xdr:col>
      <xdr:colOff>3124200</xdr:colOff>
      <xdr:row>32</xdr:row>
      <xdr:rowOff>175260</xdr:rowOff>
    </xdr:to>
    <mc:AlternateContent xmlns:mc="http://schemas.openxmlformats.org/markup-compatibility/2006" xmlns:a14="http://schemas.microsoft.com/office/drawing/2010/main">
      <mc:Choice Requires="a14">
        <xdr:graphicFrame macro="">
          <xdr:nvGraphicFramePr>
            <xdr:cNvPr id="4" name="season"/>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295400" y="2948940"/>
              <a:ext cx="1828800" cy="3078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586740</xdr:colOff>
      <xdr:row>1</xdr:row>
      <xdr:rowOff>38101</xdr:rowOff>
    </xdr:from>
    <xdr:to>
      <xdr:col>9</xdr:col>
      <xdr:colOff>586740</xdr:colOff>
      <xdr:row>7</xdr:row>
      <xdr:rowOff>45720</xdr:rowOff>
    </xdr:to>
    <mc:AlternateContent xmlns:mc="http://schemas.openxmlformats.org/markup-compatibility/2006" xmlns:a14="http://schemas.microsoft.com/office/drawing/2010/main">
      <mc:Choice Requires="a14">
        <xdr:graphicFrame macro="">
          <xdr:nvGraphicFramePr>
            <xdr:cNvPr id="2" name="season 1"/>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6179820" y="220981"/>
              <a:ext cx="1828800" cy="1104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571500</xdr:colOff>
      <xdr:row>7</xdr:row>
      <xdr:rowOff>148590</xdr:rowOff>
    </xdr:from>
    <xdr:to>
      <xdr:col>12</xdr:col>
      <xdr:colOff>289560</xdr:colOff>
      <xdr:row>22</xdr:row>
      <xdr:rowOff>148590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140970</xdr:colOff>
      <xdr:row>7</xdr:row>
      <xdr:rowOff>118110</xdr:rowOff>
    </xdr:from>
    <xdr:to>
      <xdr:col>10</xdr:col>
      <xdr:colOff>445770</xdr:colOff>
      <xdr:row>22</xdr:row>
      <xdr:rowOff>118110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12</xdr:col>
      <xdr:colOff>167640</xdr:colOff>
      <xdr:row>5</xdr:row>
      <xdr:rowOff>175260</xdr:rowOff>
    </xdr:from>
    <xdr:to>
      <xdr:col>15</xdr:col>
      <xdr:colOff>167640</xdr:colOff>
      <xdr:row>16</xdr:row>
      <xdr:rowOff>81915</xdr:rowOff>
    </xdr:to>
    <mc:AlternateContent xmlns:mc="http://schemas.openxmlformats.org/markup-compatibility/2006" xmlns:a14="http://schemas.microsoft.com/office/drawing/2010/main">
      <mc:Choice Requires="a14">
        <xdr:graphicFrame macro="">
          <xdr:nvGraphicFramePr>
            <xdr:cNvPr id="2" name="season 5"/>
            <xdr:cNvGraphicFramePr/>
          </xdr:nvGraphicFramePr>
          <xdr:xfrm>
            <a:off x="0" y="0"/>
            <a:ext cx="0" cy="0"/>
          </xdr:xfrm>
          <a:graphic>
            <a:graphicData uri="http://schemas.microsoft.com/office/drawing/2010/slicer">
              <sle:slicer xmlns:sle="http://schemas.microsoft.com/office/drawing/2010/slicer" name="season 5"/>
            </a:graphicData>
          </a:graphic>
        </xdr:graphicFrame>
      </mc:Choice>
      <mc:Fallback xmlns="">
        <xdr:sp macro="" textlink="">
          <xdr:nvSpPr>
            <xdr:cNvPr id="0" name=""/>
            <xdr:cNvSpPr>
              <a:spLocks noTextEdit="1"/>
            </xdr:cNvSpPr>
          </xdr:nvSpPr>
          <xdr:spPr>
            <a:xfrm>
              <a:off x="7734300" y="1089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49042</xdr:colOff>
      <xdr:row>1</xdr:row>
      <xdr:rowOff>43442</xdr:rowOff>
    </xdr:from>
    <xdr:to>
      <xdr:col>2</xdr:col>
      <xdr:colOff>49042</xdr:colOff>
      <xdr:row>4</xdr:row>
      <xdr:rowOff>149290</xdr:rowOff>
    </xdr:to>
    <xdr:grpSp>
      <xdr:nvGrpSpPr>
        <xdr:cNvPr id="6" name="Group 5"/>
        <xdr:cNvGrpSpPr/>
      </xdr:nvGrpSpPr>
      <xdr:grpSpPr>
        <a:xfrm>
          <a:off x="49042" y="233942"/>
          <a:ext cx="1224643" cy="677348"/>
          <a:chOff x="129540" y="160749"/>
          <a:chExt cx="1432560" cy="723171"/>
        </a:xfrm>
      </xdr:grpSpPr>
      <xdr:sp macro="" textlink="">
        <xdr:nvSpPr>
          <xdr:cNvPr id="2" name="Round Diagonal Corner Rectangle 1"/>
          <xdr:cNvSpPr/>
        </xdr:nvSpPr>
        <xdr:spPr>
          <a:xfrm>
            <a:off x="129540" y="160749"/>
            <a:ext cx="1432560" cy="723171"/>
          </a:xfrm>
          <a:prstGeom prst="round2DiagRect">
            <a:avLst/>
          </a:prstGeom>
          <a:solidFill>
            <a:srgbClr val="0331A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5" name="Picture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212217"/>
            <a:ext cx="1310640" cy="611652"/>
          </a:xfrm>
          <a:prstGeom prst="rect">
            <a:avLst/>
          </a:prstGeom>
        </xdr:spPr>
      </xdr:pic>
    </xdr:grpSp>
    <xdr:clientData/>
  </xdr:twoCellAnchor>
  <xdr:twoCellAnchor>
    <xdr:from>
      <xdr:col>0</xdr:col>
      <xdr:colOff>45720</xdr:colOff>
      <xdr:row>5</xdr:row>
      <xdr:rowOff>15240</xdr:rowOff>
    </xdr:from>
    <xdr:to>
      <xdr:col>2</xdr:col>
      <xdr:colOff>49530</xdr:colOff>
      <xdr:row>34</xdr:row>
      <xdr:rowOff>121920</xdr:rowOff>
    </xdr:to>
    <xdr:sp macro="" textlink="">
      <xdr:nvSpPr>
        <xdr:cNvPr id="11" name="Rounded Rectangle 10"/>
        <xdr:cNvSpPr/>
      </xdr:nvSpPr>
      <xdr:spPr>
        <a:xfrm rot="5400000">
          <a:off x="-2047875" y="3023235"/>
          <a:ext cx="5410200" cy="1223010"/>
        </a:xfrm>
        <a:prstGeom prst="roundRect">
          <a:avLst/>
        </a:prstGeom>
        <a:solidFill>
          <a:srgbClr val="0331A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137160</xdr:colOff>
      <xdr:row>6</xdr:row>
      <xdr:rowOff>77423</xdr:rowOff>
    </xdr:from>
    <xdr:to>
      <xdr:col>1</xdr:col>
      <xdr:colOff>601980</xdr:colOff>
      <xdr:row>11</xdr:row>
      <xdr:rowOff>15241</xdr:rowOff>
    </xdr:to>
    <xdr:grpSp>
      <xdr:nvGrpSpPr>
        <xdr:cNvPr id="39" name="Group 38"/>
        <xdr:cNvGrpSpPr/>
      </xdr:nvGrpSpPr>
      <xdr:grpSpPr>
        <a:xfrm>
          <a:off x="137160" y="1220423"/>
          <a:ext cx="1077141" cy="890318"/>
          <a:chOff x="190500" y="1182322"/>
          <a:chExt cx="864842" cy="783225"/>
        </a:xfrm>
      </xdr:grpSpPr>
      <xdr:sp macro="" textlink="'KPI ED'!H14">
        <xdr:nvSpPr>
          <xdr:cNvPr id="13" name="Oval 12"/>
          <xdr:cNvSpPr/>
        </xdr:nvSpPr>
        <xdr:spPr>
          <a:xfrm>
            <a:off x="196098" y="1182322"/>
            <a:ext cx="855462" cy="730298"/>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99629324-CDC6-4FE1-85CD-C3E90356D34C}" type="TxLink">
              <a:rPr lang="en-US" sz="1400" b="1" i="0" u="none" strike="noStrike" cap="none" spc="0">
                <a:ln w="0"/>
                <a:solidFill>
                  <a:sysClr val="windowText" lastClr="000000"/>
                </a:solidFill>
                <a:effectLst>
                  <a:outerShdw blurRad="50800" dist="38100" dir="2700000" algn="tl" rotWithShape="0">
                    <a:prstClr val="black">
                      <a:alpha val="40000"/>
                    </a:prstClr>
                  </a:outerShdw>
                </a:effectLst>
                <a:latin typeface="Calibri"/>
                <a:ea typeface="Calibri"/>
                <a:cs typeface="Calibri"/>
              </a:rPr>
              <a:pPr algn="ctr"/>
              <a:t>Season</a:t>
            </a:fld>
            <a:endParaRPr lang="en-IN" sz="1600" b="0" cap="none" spc="0">
              <a:ln w="0"/>
              <a:solidFill>
                <a:sysClr val="windowText" lastClr="000000"/>
              </a:solidFill>
              <a:effectLst>
                <a:outerShdw blurRad="50800" dist="38100" dir="2700000" algn="tl" rotWithShape="0">
                  <a:prstClr val="black">
                    <a:alpha val="40000"/>
                  </a:prstClr>
                </a:outerShdw>
              </a:effectLst>
            </a:endParaRPr>
          </a:p>
        </xdr:txBody>
      </xdr:sp>
      <xdr:sp macro="" textlink="'KPI ED'!H15">
        <xdr:nvSpPr>
          <xdr:cNvPr id="14" name="Rectangle 13"/>
          <xdr:cNvSpPr/>
        </xdr:nvSpPr>
        <xdr:spPr>
          <a:xfrm>
            <a:off x="190500" y="1596826"/>
            <a:ext cx="864842" cy="368721"/>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64E79B30-2A8E-46D6-AE4E-F5BC442B4517}" type="TxLink">
              <a:rPr lang="en-US" sz="1400" b="1" i="0" u="none" strike="noStrike">
                <a:solidFill>
                  <a:srgbClr val="000000"/>
                </a:solidFill>
                <a:latin typeface="Calibri"/>
                <a:ea typeface="Calibri"/>
                <a:cs typeface="Calibri"/>
              </a:rPr>
              <a:pPr algn="ctr"/>
              <a:t>IPL-2015</a:t>
            </a:fld>
            <a:endParaRPr lang="en-IN" sz="1800" b="1"/>
          </a:p>
        </xdr:txBody>
      </xdr:sp>
    </xdr:grpSp>
    <xdr:clientData/>
  </xdr:twoCellAnchor>
  <xdr:twoCellAnchor>
    <xdr:from>
      <xdr:col>2</xdr:col>
      <xdr:colOff>99060</xdr:colOff>
      <xdr:row>1</xdr:row>
      <xdr:rowOff>38100</xdr:rowOff>
    </xdr:from>
    <xdr:to>
      <xdr:col>23</xdr:col>
      <xdr:colOff>7620</xdr:colOff>
      <xdr:row>4</xdr:row>
      <xdr:rowOff>68580</xdr:rowOff>
    </xdr:to>
    <xdr:sp macro="" textlink="">
      <xdr:nvSpPr>
        <xdr:cNvPr id="27" name="Rectangle 26"/>
        <xdr:cNvSpPr/>
      </xdr:nvSpPr>
      <xdr:spPr>
        <a:xfrm>
          <a:off x="1315017" y="224547"/>
          <a:ext cx="12676114" cy="589820"/>
        </a:xfrm>
        <a:prstGeom prst="rect">
          <a:avLst/>
        </a:prstGeom>
        <a:solidFill>
          <a:srgbClr val="0331A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130628</xdr:colOff>
      <xdr:row>4</xdr:row>
      <xdr:rowOff>151311</xdr:rowOff>
    </xdr:from>
    <xdr:to>
      <xdr:col>15</xdr:col>
      <xdr:colOff>420188</xdr:colOff>
      <xdr:row>18</xdr:row>
      <xdr:rowOff>80554</xdr:rowOff>
    </xdr:to>
    <xdr:graphicFrame macro="">
      <xdr:nvGraphicFramePr>
        <xdr:cNvPr id="30" name="Matches win by team"/>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143691</xdr:colOff>
      <xdr:row>18</xdr:row>
      <xdr:rowOff>156754</xdr:rowOff>
    </xdr:from>
    <xdr:to>
      <xdr:col>6</xdr:col>
      <xdr:colOff>425631</xdr:colOff>
      <xdr:row>33</xdr:row>
      <xdr:rowOff>141514</xdr:rowOff>
    </xdr:to>
    <xdr:graphicFrame macro="">
      <xdr:nvGraphicFramePr>
        <xdr:cNvPr id="52" name="Toss Based"/>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510540</xdr:colOff>
      <xdr:row>4</xdr:row>
      <xdr:rowOff>149134</xdr:rowOff>
    </xdr:from>
    <xdr:to>
      <xdr:col>23</xdr:col>
      <xdr:colOff>65314</xdr:colOff>
      <xdr:row>20</xdr:row>
      <xdr:rowOff>65314</xdr:rowOff>
    </xdr:to>
    <xdr:graphicFrame macro="">
      <xdr:nvGraphicFramePr>
        <xdr:cNvPr id="53" name="Top 10 venues"/>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114300</xdr:colOff>
      <xdr:row>12</xdr:row>
      <xdr:rowOff>152400</xdr:rowOff>
    </xdr:from>
    <xdr:to>
      <xdr:col>1</xdr:col>
      <xdr:colOff>571500</xdr:colOff>
      <xdr:row>17</xdr:row>
      <xdr:rowOff>155906</xdr:rowOff>
    </xdr:to>
    <xdr:grpSp>
      <xdr:nvGrpSpPr>
        <xdr:cNvPr id="54" name="Group 53"/>
        <xdr:cNvGrpSpPr/>
      </xdr:nvGrpSpPr>
      <xdr:grpSpPr>
        <a:xfrm>
          <a:off x="114300" y="2438400"/>
          <a:ext cx="1069521" cy="956006"/>
          <a:chOff x="190500" y="1182322"/>
          <a:chExt cx="864842" cy="825244"/>
        </a:xfrm>
      </xdr:grpSpPr>
      <xdr:sp macro="" textlink="'KPI ED'!I14">
        <xdr:nvSpPr>
          <xdr:cNvPr id="55" name="Oval 54"/>
          <xdr:cNvSpPr/>
        </xdr:nvSpPr>
        <xdr:spPr>
          <a:xfrm>
            <a:off x="196098" y="1182322"/>
            <a:ext cx="855462" cy="730298"/>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554855B3-87D6-476C-9448-807552BAAA5E}" type="TxLink">
              <a:rPr lang="en-US" sz="1200" b="1" i="0" u="none" strike="noStrike" cap="none" spc="0">
                <a:ln w="0"/>
                <a:solidFill>
                  <a:sysClr val="windowText" lastClr="000000"/>
                </a:solidFill>
                <a:effectLst>
                  <a:outerShdw blurRad="50800" dist="38100" dir="2700000" algn="tl" rotWithShape="0">
                    <a:prstClr val="black">
                      <a:alpha val="40000"/>
                    </a:prstClr>
                  </a:outerShdw>
                </a:effectLst>
                <a:latin typeface="Calibri"/>
                <a:ea typeface="Calibri"/>
                <a:cs typeface="Calibri"/>
              </a:rPr>
              <a:pPr algn="ctr"/>
              <a:t>Winner</a:t>
            </a:fld>
            <a:endParaRPr lang="en-IN" sz="1400" b="0" cap="none" spc="0">
              <a:ln w="0"/>
              <a:solidFill>
                <a:sysClr val="windowText" lastClr="000000"/>
              </a:solidFill>
              <a:effectLst>
                <a:outerShdw blurRad="50800" dist="38100" dir="2700000" algn="tl" rotWithShape="0">
                  <a:prstClr val="black">
                    <a:alpha val="40000"/>
                  </a:prstClr>
                </a:outerShdw>
              </a:effectLst>
            </a:endParaRPr>
          </a:p>
        </xdr:txBody>
      </xdr:sp>
      <xdr:sp macro="" textlink="'KPI ED'!I15">
        <xdr:nvSpPr>
          <xdr:cNvPr id="56" name="Rectangle 55"/>
          <xdr:cNvSpPr/>
        </xdr:nvSpPr>
        <xdr:spPr>
          <a:xfrm>
            <a:off x="190500" y="1596826"/>
            <a:ext cx="864842" cy="41074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A6710723-F047-4217-8C3F-EA2951B386E5}" type="TxLink">
              <a:rPr lang="en-US" sz="1100" b="1" i="0" u="none" strike="noStrike">
                <a:solidFill>
                  <a:srgbClr val="000000"/>
                </a:solidFill>
                <a:latin typeface="Calibri"/>
                <a:ea typeface="Calibri"/>
                <a:cs typeface="Calibri"/>
              </a:rPr>
              <a:pPr algn="ctr"/>
              <a:t>Mumbai Indians</a:t>
            </a:fld>
            <a:endParaRPr lang="en-IN" sz="1400" b="1"/>
          </a:p>
        </xdr:txBody>
      </xdr:sp>
    </xdr:grpSp>
    <xdr:clientData/>
  </xdr:twoCellAnchor>
  <xdr:twoCellAnchor>
    <xdr:from>
      <xdr:col>0</xdr:col>
      <xdr:colOff>137160</xdr:colOff>
      <xdr:row>19</xdr:row>
      <xdr:rowOff>144780</xdr:rowOff>
    </xdr:from>
    <xdr:to>
      <xdr:col>1</xdr:col>
      <xdr:colOff>594360</xdr:colOff>
      <xdr:row>24</xdr:row>
      <xdr:rowOff>148286</xdr:rowOff>
    </xdr:to>
    <xdr:grpSp>
      <xdr:nvGrpSpPr>
        <xdr:cNvPr id="57" name="Group 56"/>
        <xdr:cNvGrpSpPr/>
      </xdr:nvGrpSpPr>
      <xdr:grpSpPr>
        <a:xfrm>
          <a:off x="137160" y="3764280"/>
          <a:ext cx="1069521" cy="956006"/>
          <a:chOff x="190500" y="1182322"/>
          <a:chExt cx="864842" cy="825244"/>
        </a:xfrm>
      </xdr:grpSpPr>
      <xdr:sp macro="" textlink="'KPI ED'!J14">
        <xdr:nvSpPr>
          <xdr:cNvPr id="58" name="Oval 57"/>
          <xdr:cNvSpPr/>
        </xdr:nvSpPr>
        <xdr:spPr>
          <a:xfrm>
            <a:off x="196098" y="1182322"/>
            <a:ext cx="855462" cy="730298"/>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CC43C3CA-3C89-4B52-9871-38AF495D088D}" type="TxLink">
              <a:rPr lang="en-US" sz="1000" b="1" i="0" u="none" strike="noStrike" cap="none" spc="0">
                <a:ln w="0"/>
                <a:solidFill>
                  <a:sysClr val="windowText" lastClr="000000"/>
                </a:solidFill>
                <a:effectLst>
                  <a:outerShdw blurRad="50800" dist="38100" dir="2700000" algn="tl" rotWithShape="0">
                    <a:prstClr val="black">
                      <a:alpha val="40000"/>
                    </a:prstClr>
                  </a:outerShdw>
                </a:effectLst>
                <a:latin typeface="Calibri"/>
                <a:ea typeface="Calibri"/>
                <a:cs typeface="Calibri"/>
              </a:rPr>
              <a:pPr algn="ctr"/>
              <a:t>Runner-up</a:t>
            </a:fld>
            <a:endParaRPr lang="en-IN" sz="900" b="0" cap="none" spc="0">
              <a:ln w="0"/>
              <a:solidFill>
                <a:sysClr val="windowText" lastClr="000000"/>
              </a:solidFill>
              <a:effectLst>
                <a:outerShdw blurRad="50800" dist="38100" dir="2700000" algn="tl" rotWithShape="0">
                  <a:prstClr val="black">
                    <a:alpha val="40000"/>
                  </a:prstClr>
                </a:outerShdw>
              </a:effectLst>
            </a:endParaRPr>
          </a:p>
        </xdr:txBody>
      </xdr:sp>
      <xdr:sp macro="" textlink="'KPI ED'!J15">
        <xdr:nvSpPr>
          <xdr:cNvPr id="59" name="Rectangle 58"/>
          <xdr:cNvSpPr/>
        </xdr:nvSpPr>
        <xdr:spPr>
          <a:xfrm>
            <a:off x="190500" y="1596826"/>
            <a:ext cx="864842" cy="41074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BD372D41-7D1B-46F2-A2C1-93077D434BF5}" type="TxLink">
              <a:rPr lang="en-US" sz="1100" b="1" i="0" u="none" strike="noStrike">
                <a:solidFill>
                  <a:sysClr val="windowText" lastClr="000000"/>
                </a:solidFill>
                <a:latin typeface="Calibri"/>
                <a:ea typeface="Calibri"/>
                <a:cs typeface="Calibri"/>
              </a:rPr>
              <a:pPr algn="ctr"/>
              <a:t>Chennai Super Kings</a:t>
            </a:fld>
            <a:endParaRPr lang="en-IN" sz="1400" b="1">
              <a:solidFill>
                <a:sysClr val="windowText" lastClr="000000"/>
              </a:solidFill>
            </a:endParaRPr>
          </a:p>
        </xdr:txBody>
      </xdr:sp>
    </xdr:grpSp>
    <xdr:clientData/>
  </xdr:twoCellAnchor>
  <xdr:twoCellAnchor>
    <xdr:from>
      <xdr:col>0</xdr:col>
      <xdr:colOff>99060</xdr:colOff>
      <xdr:row>26</xdr:row>
      <xdr:rowOff>68580</xdr:rowOff>
    </xdr:from>
    <xdr:to>
      <xdr:col>1</xdr:col>
      <xdr:colOff>556260</xdr:colOff>
      <xdr:row>31</xdr:row>
      <xdr:rowOff>53340</xdr:rowOff>
    </xdr:to>
    <xdr:grpSp>
      <xdr:nvGrpSpPr>
        <xdr:cNvPr id="60" name="Group 59"/>
        <xdr:cNvGrpSpPr/>
      </xdr:nvGrpSpPr>
      <xdr:grpSpPr>
        <a:xfrm>
          <a:off x="99060" y="5021580"/>
          <a:ext cx="1069521" cy="937260"/>
          <a:chOff x="190500" y="1182322"/>
          <a:chExt cx="864842" cy="808390"/>
        </a:xfrm>
      </xdr:grpSpPr>
      <xdr:sp macro="" textlink="'KPI ED'!K14">
        <xdr:nvSpPr>
          <xdr:cNvPr id="61" name="Oval 60"/>
          <xdr:cNvSpPr/>
        </xdr:nvSpPr>
        <xdr:spPr>
          <a:xfrm>
            <a:off x="196098" y="1182322"/>
            <a:ext cx="855462" cy="730298"/>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228FA6D0-A737-42C3-9C4E-00F566E002F0}" type="TxLink">
              <a:rPr lang="en-US" sz="1000" b="1" i="0" u="none" strike="noStrike" cap="none" spc="0">
                <a:ln w="0"/>
                <a:solidFill>
                  <a:sysClr val="windowText" lastClr="000000"/>
                </a:solidFill>
                <a:effectLst>
                  <a:outerShdw blurRad="50800" dist="38100" dir="2700000" algn="tl" rotWithShape="0">
                    <a:prstClr val="black">
                      <a:alpha val="40000"/>
                    </a:prstClr>
                  </a:outerShdw>
                </a:effectLst>
                <a:latin typeface="Calibri"/>
                <a:ea typeface="Calibri"/>
                <a:cs typeface="Calibri"/>
              </a:rPr>
              <a:pPr algn="ctr"/>
              <a:t>Player of the Match (Final)</a:t>
            </a:fld>
            <a:endParaRPr lang="en-IN" sz="700" b="0" cap="none" spc="0">
              <a:ln w="0"/>
              <a:solidFill>
                <a:sysClr val="windowText" lastClr="000000"/>
              </a:solidFill>
              <a:effectLst>
                <a:outerShdw blurRad="50800" dist="38100" dir="2700000" algn="tl" rotWithShape="0">
                  <a:prstClr val="black">
                    <a:alpha val="40000"/>
                  </a:prstClr>
                </a:outerShdw>
              </a:effectLst>
            </a:endParaRPr>
          </a:p>
        </xdr:txBody>
      </xdr:sp>
      <xdr:sp macro="" textlink="'KPI ED'!K15">
        <xdr:nvSpPr>
          <xdr:cNvPr id="62" name="Rectangle 61"/>
          <xdr:cNvSpPr/>
        </xdr:nvSpPr>
        <xdr:spPr>
          <a:xfrm>
            <a:off x="190500" y="1637930"/>
            <a:ext cx="864842" cy="352782"/>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61CB552E-9812-4083-8C53-BCFD27412218}" type="TxLink">
              <a:rPr lang="en-US" sz="1200" b="1" i="0" u="none" strike="noStrike">
                <a:solidFill>
                  <a:sysClr val="windowText" lastClr="000000"/>
                </a:solidFill>
                <a:latin typeface="Calibri"/>
                <a:ea typeface="Calibri"/>
                <a:cs typeface="Calibri"/>
              </a:rPr>
              <a:pPr algn="ctr"/>
              <a:t>Rohit Sharma </a:t>
            </a:fld>
            <a:endParaRPr lang="en-IN" sz="1600" b="1">
              <a:solidFill>
                <a:sysClr val="windowText" lastClr="000000"/>
              </a:solidFill>
            </a:endParaRPr>
          </a:p>
        </xdr:txBody>
      </xdr:sp>
    </xdr:grpSp>
    <xdr:clientData/>
  </xdr:twoCellAnchor>
  <xdr:twoCellAnchor>
    <xdr:from>
      <xdr:col>6</xdr:col>
      <xdr:colOff>490946</xdr:colOff>
      <xdr:row>18</xdr:row>
      <xdr:rowOff>162197</xdr:rowOff>
    </xdr:from>
    <xdr:to>
      <xdr:col>15</xdr:col>
      <xdr:colOff>308066</xdr:colOff>
      <xdr:row>33</xdr:row>
      <xdr:rowOff>162197</xdr:rowOff>
    </xdr:to>
    <xdr:graphicFrame macro="">
      <xdr:nvGraphicFramePr>
        <xdr:cNvPr id="63" name="Chart 6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162127</xdr:colOff>
      <xdr:row>1</xdr:row>
      <xdr:rowOff>113490</xdr:rowOff>
    </xdr:from>
    <xdr:to>
      <xdr:col>22</xdr:col>
      <xdr:colOff>518808</xdr:colOff>
      <xdr:row>3</xdr:row>
      <xdr:rowOff>170234</xdr:rowOff>
    </xdr:to>
    <mc:AlternateContent xmlns:mc="http://schemas.openxmlformats.org/markup-compatibility/2006" xmlns:a14="http://schemas.microsoft.com/office/drawing/2010/main">
      <mc:Choice Requires="a14">
        <xdr:graphicFrame macro="">
          <xdr:nvGraphicFramePr>
            <xdr:cNvPr id="26" name="season 6"/>
            <xdr:cNvGraphicFramePr/>
          </xdr:nvGraphicFramePr>
          <xdr:xfrm>
            <a:off x="0" y="0"/>
            <a:ext cx="0" cy="0"/>
          </xdr:xfrm>
          <a:graphic>
            <a:graphicData uri="http://schemas.microsoft.com/office/drawing/2010/slicer">
              <sle:slicer xmlns:sle="http://schemas.microsoft.com/office/drawing/2010/slicer" name="season 6"/>
            </a:graphicData>
          </a:graphic>
        </xdr:graphicFrame>
      </mc:Choice>
      <mc:Fallback xmlns="">
        <xdr:sp macro="" textlink="">
          <xdr:nvSpPr>
            <xdr:cNvPr id="0" name=""/>
            <xdr:cNvSpPr>
              <a:spLocks noTextEdit="1"/>
            </xdr:cNvSpPr>
          </xdr:nvSpPr>
          <xdr:spPr>
            <a:xfrm>
              <a:off x="1381327" y="298547"/>
              <a:ext cx="12548681" cy="4268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413658</xdr:colOff>
      <xdr:row>20</xdr:row>
      <xdr:rowOff>152400</xdr:rowOff>
    </xdr:from>
    <xdr:to>
      <xdr:col>23</xdr:col>
      <xdr:colOff>97972</xdr:colOff>
      <xdr:row>33</xdr:row>
      <xdr:rowOff>163285</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792480</xdr:colOff>
      <xdr:row>13</xdr:row>
      <xdr:rowOff>57150</xdr:rowOff>
    </xdr:from>
    <xdr:to>
      <xdr:col>6</xdr:col>
      <xdr:colOff>281940</xdr:colOff>
      <xdr:row>28</xdr:row>
      <xdr:rowOff>57150</xdr:rowOff>
    </xdr:to>
    <mc:AlternateContent xmlns:mc="http://schemas.openxmlformats.org/markup-compatibility/2006">
      <mc:Choice xmlns:cx1="http://schemas.microsoft.com/office/drawing/2015/9/8/chartex" Requires="cx1">
        <xdr:graphicFrame macro="">
          <xdr:nvGraphicFramePr>
            <xdr:cNvPr id="2" name="Chart 1"/>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1059180</xdr:colOff>
      <xdr:row>9</xdr:row>
      <xdr:rowOff>106680</xdr:rowOff>
    </xdr:from>
    <xdr:to>
      <xdr:col>11</xdr:col>
      <xdr:colOff>15240</xdr:colOff>
      <xdr:row>20</xdr:row>
      <xdr:rowOff>13335</xdr:rowOff>
    </xdr:to>
    <mc:AlternateContent xmlns:mc="http://schemas.openxmlformats.org/markup-compatibility/2006" xmlns:a14="http://schemas.microsoft.com/office/drawing/2010/main">
      <mc:Choice Requires="a14">
        <xdr:graphicFrame macro="">
          <xdr:nvGraphicFramePr>
            <xdr:cNvPr id="2" name="season 2"/>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6766560" y="2301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7620</xdr:colOff>
      <xdr:row>7</xdr:row>
      <xdr:rowOff>160020</xdr:rowOff>
    </xdr:from>
    <xdr:to>
      <xdr:col>5</xdr:col>
      <xdr:colOff>259080</xdr:colOff>
      <xdr:row>13</xdr:row>
      <xdr:rowOff>91440</xdr:rowOff>
    </xdr:to>
    <xdr:grpSp>
      <xdr:nvGrpSpPr>
        <xdr:cNvPr id="8" name="Group 7"/>
        <xdr:cNvGrpSpPr/>
      </xdr:nvGrpSpPr>
      <xdr:grpSpPr>
        <a:xfrm>
          <a:off x="2697480" y="1988820"/>
          <a:ext cx="1089660" cy="1028700"/>
          <a:chOff x="2697480" y="1988820"/>
          <a:chExt cx="1089660" cy="1028700"/>
        </a:xfrm>
      </xdr:grpSpPr>
      <xdr:sp macro="" textlink="">
        <xdr:nvSpPr>
          <xdr:cNvPr id="6" name="Oval 5"/>
          <xdr:cNvSpPr/>
        </xdr:nvSpPr>
        <xdr:spPr>
          <a:xfrm>
            <a:off x="2788920" y="1988820"/>
            <a:ext cx="845820" cy="769620"/>
          </a:xfrm>
          <a:prstGeom prst="ellipse">
            <a:avLst/>
          </a:prstGeom>
          <a:solidFill>
            <a:srgbClr val="0331A5"/>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6"/>
          <xdr:cNvSpPr/>
        </xdr:nvSpPr>
        <xdr:spPr>
          <a:xfrm>
            <a:off x="2697480" y="2613660"/>
            <a:ext cx="1089660" cy="40386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Shubham Sahu" refreshedDate="45931.518608564817" createdVersion="6" refreshedVersion="6" minRefreshableVersion="3" recordCount="637">
  <cacheSource type="worksheet">
    <worksheetSource ref="A1:U638" sheet="Data 2015-2024"/>
  </cacheSource>
  <cacheFields count="21">
    <cacheField name="id" numFmtId="0">
      <sharedItems containsSemiMixedTypes="0" containsString="0" containsNumber="1" containsInteger="1" minValue="829705" maxValue="1426312"/>
    </cacheField>
    <cacheField name="city" numFmtId="0">
      <sharedItems/>
    </cacheField>
    <cacheField name="date" numFmtId="14">
      <sharedItems containsSemiMixedTypes="0" containsNonDate="0" containsDate="1" containsString="0" minDate="2015-04-08T00:00:00" maxDate="2024-05-27T00:00:00"/>
    </cacheField>
    <cacheField name="season" numFmtId="0">
      <sharedItems count="10">
        <s v="IPL-2015"/>
        <s v="IPL-2016"/>
        <s v="IPL-2017"/>
        <s v="IPL-2018"/>
        <s v="IPL-2019"/>
        <s v="IPL-2020"/>
        <s v="IPL-2021"/>
        <s v="IPL-2022"/>
        <s v="IPL-2023"/>
        <s v="IPL-2024"/>
      </sharedItems>
    </cacheField>
    <cacheField name="player_of_match" numFmtId="0">
      <sharedItems count="191">
        <s v="M Morkel"/>
        <s v="A Nehra"/>
        <s v="JP Faulkner"/>
        <s v="BB McCullum"/>
        <s v="CH Gayle"/>
        <s v="DJ Hooda"/>
        <s v="GJ Bailey"/>
        <s v="DA Warner"/>
        <s v="SPD Smith"/>
        <s v="MA Agarwal"/>
        <s v="AM Rahane"/>
        <s v="JP Duminy"/>
        <s v="AD Russell"/>
        <s v="Harbhajan Singh"/>
        <s v="UT Yadav"/>
        <s v="SE Marsh"/>
        <s v="SK Raina"/>
        <s v="SS Iyer"/>
        <s v="MA Starc"/>
        <s v="SL Malinga"/>
        <s v="VR Aaron"/>
        <s v="TA Boult"/>
        <s v="DJ Bravo"/>
        <s v="NA"/>
        <s v="NM Coulter-Nile"/>
        <s v="AT Rayudu"/>
        <s v="Mandeep Singh"/>
        <s v="LMP Simmons"/>
        <s v="PP Chawla"/>
        <s v="EJG Morgan"/>
        <s v="HH Pandya"/>
        <s v="MC Henriques"/>
        <s v="AB de Villiers"/>
        <s v="RA Jadeja"/>
        <s v="Z Khan"/>
        <s v="AR Patel"/>
        <s v="V Kohli"/>
        <s v="P Negi"/>
        <s v="SR Watson"/>
        <s v="MJ McClenaghan"/>
        <s v="KA Pollard"/>
        <s v="RG Sharma"/>
        <s v="AJ Finch"/>
        <s v="A Mishra"/>
        <s v="G Gambhir"/>
        <s v="M Vohra"/>
        <s v="Q de Kock"/>
        <s v="RV Uthappa"/>
        <s v="B Kumar"/>
        <s v="SV Samson"/>
        <s v="Mustafizur Rahman"/>
        <s v="SA Yadav"/>
        <s v="PA Patel"/>
        <s v="AB Dinda"/>
        <s v="CH Morris"/>
        <s v="DR Smith"/>
        <s v="CR Brathwaite"/>
        <s v="RR Pant"/>
        <s v="MP Stoinis"/>
        <s v="P Kumar"/>
        <s v="A Zampa"/>
        <s v="KH Pandya"/>
        <s v="YK Pathan"/>
        <s v="HM Amla"/>
        <s v="KK Nair"/>
        <s v="MS Dhoni"/>
        <s v="BCJ Cutting"/>
        <s v="Yuvraj Singh"/>
        <s v="CA Lynn"/>
        <s v="GJ Maxwell"/>
        <s v="KM Jadhav"/>
        <s v="Rashid Khan"/>
        <s v="N Rana"/>
        <s v="JJ Bumrah"/>
        <s v="SP Narine"/>
        <s v="AJ Tye"/>
        <s v="CJ Anderson"/>
        <s v="BA Stokes"/>
        <s v="KS Williamson"/>
        <s v="JC Buttler"/>
        <s v="LH Ferguson"/>
        <s v="Sandeep Sharma"/>
        <s v="Mohammed Shami"/>
        <s v="RA Tripathi"/>
        <s v="JD Unadkat"/>
        <s v="S Dhawan"/>
        <s v="MM Sharma"/>
        <s v="WP Saha"/>
        <s v="Mohammed Siraj"/>
        <s v="HV Patel"/>
        <s v="Washington Sundar"/>
        <s v="KV Sharma"/>
        <s v="KL Rahul"/>
        <s v="SW Billings"/>
        <s v="JJ Roy"/>
        <s v="B Stanlake"/>
        <s v="JC Archer"/>
        <s v="AS Rajpoot"/>
        <s v="TG Southee"/>
        <s v="Mujeeb Ur Rahman"/>
        <s v="Ishan Kishan"/>
        <s v="Kuldeep Yadav"/>
        <s v="S Gopal"/>
        <s v="L Ngidi"/>
        <s v="F du Plessis"/>
        <s v="PP Shaw"/>
        <s v="JM Bairstow"/>
        <s v="SM Curran"/>
        <s v="AS Joseph"/>
        <s v="K Rabada"/>
        <s v="HF Gurney"/>
        <s v="DL Chahar"/>
        <s v="Imran Tahir"/>
        <s v="KMA Paul"/>
        <s v="R Ashwin"/>
        <s v="KK Ahmed"/>
        <s v="Shubman Gill"/>
        <s v="SO Hetmyer"/>
        <s v="YS Chahal"/>
        <s v="Shivam Mavi"/>
        <s v="PK Garg"/>
        <s v="KD Karthik"/>
        <s v="R Tewatia"/>
        <s v="A Nortje"/>
        <s v="MK Pandey"/>
        <s v="CV Varun"/>
        <s v="CJ Jordan"/>
        <s v="RD Gaikwad"/>
        <s v="PJ Cummins"/>
        <s v="S Nadeem"/>
        <s v="RD Chahar"/>
        <s v="MM Ali"/>
        <s v="D Padikkal"/>
        <s v="Harpreet Brar"/>
        <s v="Kartik Tyagi"/>
        <s v="JO Holder"/>
        <s v="JR Hazlewood"/>
        <s v="KS Bharat"/>
        <s v="VR Iyer"/>
        <s v="OF Smith"/>
        <s v="PWH de Silva"/>
        <s v="E Lewis"/>
        <s v="LS Livingstone"/>
        <s v="Avesh Khan"/>
        <s v="Abhishek Sharma"/>
        <s v="Anuj Rawat"/>
        <s v="S Dube"/>
        <s v="Umran Malik"/>
        <s v="DA Miller"/>
        <s v="Mukesh Choudhary"/>
        <s v="M Jansen"/>
        <s v="R Parag"/>
        <s v="Mohsin Khan"/>
        <s v="RK Singh"/>
        <s v="TH David"/>
        <s v="YBK Jaiswal"/>
        <s v="DP Conway"/>
        <s v="MR Marsh"/>
        <s v="DR Sams"/>
        <s v="SN Thakur"/>
        <s v="RM Patidar"/>
        <s v="Arshdeep Singh"/>
        <s v="MA Wood"/>
        <s v="B Sai Sudharsan"/>
        <s v="NT Ellis"/>
        <s v="N Pooran"/>
        <s v="HC Brook"/>
        <s v="Sikandar Raza"/>
        <s v="C Green"/>
        <s v="I Sharma"/>
        <s v="A Manohar"/>
        <s v="J Little"/>
        <s v="M Pathirana"/>
        <s v="PD Salt"/>
        <s v="GD Phillips"/>
        <s v="PN Mankad"/>
        <s v="P Simran Singh"/>
        <s v="WD Parnell"/>
        <s v="RR Rossouw"/>
        <s v="Akash Madhwal"/>
        <s v="MP Yadav"/>
        <s v="Shashank Singh"/>
        <s v="R Shepherd"/>
        <s v="Yash Thakur"/>
        <s v="Nithish Kumar Reddy"/>
        <s v="TM Head"/>
        <s v="R Sai Kishore"/>
        <s v="J Fraser-McGurk"/>
        <s v="WG Jacks"/>
        <s v="Simarjeet Singh"/>
        <s v="Shahbaz Ahmed"/>
      </sharedItems>
    </cacheField>
    <cacheField name="venue" numFmtId="0">
      <sharedItems count="44">
        <s v="Eden Gardens"/>
        <s v="MA Chidambaram Stadium, Chepauk"/>
        <s v="Maharashtra Cricket Association Stadium"/>
        <s v="Feroz Shah Kotla"/>
        <s v="Wankhede Stadium"/>
        <s v="M Chinnaswamy Stadium"/>
        <s v="Sardar Patel Stadium, Motera"/>
        <s v="Dr. Y.S. Rajasekhara Reddy ACA-VDCA Cricket Stadium"/>
        <s v="Punjab Cricket Association Stadium, Mohali"/>
        <s v="Rajiv Gandhi International Stadium, Uppal"/>
        <s v="Brabourne Stadium"/>
        <s v="Shaheed Veer Narayan Singh International Stadium"/>
        <s v="JSCA International Stadium Complex"/>
        <s v="Punjab Cricket Association IS Bindra Stadium, Mohali"/>
        <s v="Saurashtra Cricket Association Stadium"/>
        <s v="Green Park"/>
        <s v="Holkar Cricket Stadium"/>
        <s v="M.Chinnaswamy Stadium"/>
        <s v="Punjab Cricket Association IS Bindra Stadium"/>
        <s v="Rajiv Gandhi International Stadium"/>
        <s v="MA Chidambaram Stadium"/>
        <s v="Sawai Mansingh Stadium"/>
        <s v="Arun Jaitley Stadium"/>
        <s v="Sheikh Zayed Stadium"/>
        <s v="Dubai International Cricket Stadium"/>
        <s v="Sharjah Cricket Stadium"/>
        <s v="MA Chidambaram Stadium, Chepauk, Chennai"/>
        <s v="Wankhede Stadium, Mumbai"/>
        <s v="Narendra Modi Stadium, Ahmedabad"/>
        <s v="Arun Jaitley Stadium, Delhi"/>
        <s v="Zayed Cricket Stadium, Abu Dhabi"/>
        <s v="Brabourne Stadium, Mumbai"/>
        <s v="Dr DY Patil Sports Academy, Mumbai"/>
        <s v="Maharashtra Cricket Association Stadium, Pune"/>
        <s v="Eden Gardens, Kolkata"/>
        <s v="Punjab Cricket Association IS Bindra Stadium, Mohali, Chandigarh"/>
        <s v="Bharat Ratna Shri Atal Bihari Vajpayee Ekana Cricket Stadium, Lucknow"/>
        <s v="Rajiv Gandhi International Stadium, Uppal, Hyderabad"/>
        <s v="M Chinnaswamy Stadium, Bengaluru"/>
        <s v="Barsapara Cricket Stadium, Guwahati"/>
        <s v="Sawai Mansingh Stadium, Jaipur"/>
        <s v="Himachal Pradesh Cricket Association Stadium, Dharamsala"/>
        <s v="Maharaja Yadavindra Singh International Cricket Stadium, Mullanpur"/>
        <s v="Dr. Y.S. Rajasekhara Reddy ACA-VDCA Cricket Stadium, Visakhapatnam"/>
      </sharedItems>
    </cacheField>
    <cacheField name="match_type" numFmtId="0">
      <sharedItems/>
    </cacheField>
    <cacheField name="player_of_match2" numFmtId="0">
      <sharedItems/>
    </cacheField>
    <cacheField name="team1" numFmtId="0">
      <sharedItems/>
    </cacheField>
    <cacheField name="team2" numFmtId="0">
      <sharedItems/>
    </cacheField>
    <cacheField name="toss_winner" numFmtId="0">
      <sharedItems/>
    </cacheField>
    <cacheField name="toss_decision" numFmtId="0">
      <sharedItems count="2">
        <s v="field"/>
        <s v="bat"/>
      </sharedItems>
    </cacheField>
    <cacheField name="winner" numFmtId="0">
      <sharedItems count="13">
        <s v="Kolkata Knight Riders"/>
        <s v="Chennai Super Kings"/>
        <s v="Rajasthan Royals"/>
        <s v="Royal Challengers Bangalore"/>
        <s v="Kings XI Punjab"/>
        <s v="Sunrisers Hyderabad"/>
        <s v="Delhi Capitals"/>
        <s v="Mumbai Indians"/>
        <s v="NA"/>
        <s v="Rising Pune Supergiants"/>
        <s v="Gujarat Titans"/>
        <s v="Punjab Kings"/>
        <s v="Lucknow Super Giants"/>
      </sharedItems>
    </cacheField>
    <cacheField name="result" numFmtId="0">
      <sharedItems/>
    </cacheField>
    <cacheField name="result_margin" numFmtId="0">
      <sharedItems containsMixedTypes="1" containsNumber="1" containsInteger="1" minValue="1" maxValue="146"/>
    </cacheField>
    <cacheField name="target_runs" numFmtId="0">
      <sharedItems containsMixedTypes="1" containsNumber="1" containsInteger="1" minValue="48" maxValue="288"/>
    </cacheField>
    <cacheField name="target_overs" numFmtId="0">
      <sharedItems containsMixedTypes="1" containsNumber="1" containsInteger="1" minValue="5" maxValue="20"/>
    </cacheField>
    <cacheField name="super_over" numFmtId="0">
      <sharedItems/>
    </cacheField>
    <cacheField name="method" numFmtId="0">
      <sharedItems/>
    </cacheField>
    <cacheField name="umpire1" numFmtId="0">
      <sharedItems/>
    </cacheField>
    <cacheField name="umpire2" numFmtId="0">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Shubham Sahu" refreshedDate="45932.626889120373" createdVersion="6" refreshedVersion="6" minRefreshableVersion="3" recordCount="10">
  <cacheSource type="worksheet">
    <worksheetSource name="Table1"/>
  </cacheSource>
  <cacheFields count="5">
    <cacheField name="Season" numFmtId="0">
      <sharedItems containsSemiMixedTypes="0" containsString="0" containsNumber="1" containsInteger="1" minValue="2015" maxValue="2024" count="10">
        <n v="2015"/>
        <n v="2016"/>
        <n v="2017"/>
        <n v="2018"/>
        <n v="2019"/>
        <n v="2020"/>
        <n v="2021"/>
        <n v="2022"/>
        <n v="2023"/>
        <n v="2024"/>
      </sharedItems>
    </cacheField>
    <cacheField name="Winner" numFmtId="0">
      <sharedItems count="5">
        <s v="Mumbai Indians"/>
        <s v="Sunrisers Hyderabad"/>
        <s v="Chennai Super Kings"/>
        <s v="Gujarat Titans"/>
        <s v="Kolkata Knight Riders"/>
      </sharedItems>
    </cacheField>
    <cacheField name="Runner-up" numFmtId="0">
      <sharedItems/>
    </cacheField>
    <cacheField name="Player of the Match (Final)" numFmtId="0">
      <sharedItems/>
    </cacheField>
    <cacheField name="Player of the Series"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Shubham Sahu" refreshedDate="45932.642905671295" createdVersion="6" refreshedVersion="6" minRefreshableVersion="3" recordCount="638">
  <cacheSource type="worksheet">
    <worksheetSource ref="D1:D1048576" sheet="Data 2015-2024"/>
  </cacheSource>
  <cacheFields count="1">
    <cacheField name="season" numFmtId="0">
      <sharedItems containsBlank="1" count="11">
        <s v="IPL-2015"/>
        <s v="IPL-2016"/>
        <s v="IPL-2017"/>
        <s v="IPL-2018"/>
        <s v="IPL-2019"/>
        <s v="IPL-2020"/>
        <s v="IPL-2021"/>
        <s v="IPL-2022"/>
        <s v="IPL-2023"/>
        <s v="IPL-2024"/>
        <m/>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637">
  <r>
    <n v="829705"/>
    <s v="Kolkata"/>
    <d v="2015-04-08T00:00:00"/>
    <x v="0"/>
    <x v="0"/>
    <x v="0"/>
    <s v="League"/>
    <s v="M Morkel"/>
    <s v="Kolkata Knight Riders"/>
    <s v="Mumbai Indians"/>
    <s v="Kolkata Knight Riders"/>
    <x v="0"/>
    <x v="0"/>
    <s v="wickets"/>
    <n v="7"/>
    <n v="169"/>
    <n v="20"/>
    <s v="N"/>
    <s v="NA"/>
    <s v="S Ravi"/>
    <s v="C Shamshuddin"/>
  </r>
  <r>
    <n v="829707"/>
    <s v="Chennai"/>
    <d v="2015-04-09T00:00:00"/>
    <x v="0"/>
    <x v="1"/>
    <x v="1"/>
    <s v="League"/>
    <s v="A Nehra"/>
    <s v="Chennai Super Kings"/>
    <s v="Delhi Capitals"/>
    <s v="Delhi Capitals"/>
    <x v="0"/>
    <x v="1"/>
    <s v="runs"/>
    <n v="1"/>
    <n v="151"/>
    <n v="20"/>
    <s v="N"/>
    <s v="NA"/>
    <s v="RK Illingworth"/>
    <s v="VA Kulkarni"/>
  </r>
  <r>
    <n v="829709"/>
    <s v="Pune"/>
    <d v="2015-04-10T00:00:00"/>
    <x v="0"/>
    <x v="2"/>
    <x v="2"/>
    <s v="League"/>
    <s v="JP Faulkner"/>
    <s v="Kings XI Punjab"/>
    <s v="Rajasthan Royals"/>
    <s v="Kings XI Punjab"/>
    <x v="0"/>
    <x v="2"/>
    <s v="runs"/>
    <n v="26"/>
    <n v="163"/>
    <n v="20"/>
    <s v="N"/>
    <s v="NA"/>
    <s v="SD Fry"/>
    <s v="CB Gaffaney"/>
  </r>
  <r>
    <n v="829711"/>
    <s v="Chennai"/>
    <d v="2015-04-11T00:00:00"/>
    <x v="0"/>
    <x v="3"/>
    <x v="1"/>
    <s v="League"/>
    <s v="BB McCullum"/>
    <s v="Chennai Super Kings"/>
    <s v="Sunrisers Hyderabad"/>
    <s v="Chennai Super Kings"/>
    <x v="1"/>
    <x v="1"/>
    <s v="runs"/>
    <n v="45"/>
    <n v="210"/>
    <n v="20"/>
    <s v="N"/>
    <s v="NA"/>
    <s v="RK Illingworth"/>
    <s v="VA Kulkarni"/>
  </r>
  <r>
    <n v="829713"/>
    <s v="Kolkata"/>
    <d v="2015-04-11T00:00:00"/>
    <x v="0"/>
    <x v="4"/>
    <x v="0"/>
    <s v="League"/>
    <s v="CH Gayle"/>
    <s v="Kolkata Knight Riders"/>
    <s v="Royal Challengers Bangalore"/>
    <s v="Royal Challengers Bangalore"/>
    <x v="0"/>
    <x v="3"/>
    <s v="wickets"/>
    <n v="3"/>
    <n v="178"/>
    <n v="20"/>
    <s v="N"/>
    <s v="NA"/>
    <s v="S Ravi"/>
    <s v="C Shamshuddin"/>
  </r>
  <r>
    <n v="829715"/>
    <s v="Delhi"/>
    <d v="2015-04-12T00:00:00"/>
    <x v="0"/>
    <x v="5"/>
    <x v="3"/>
    <s v="League"/>
    <s v="DJ Hooda"/>
    <s v="Delhi Capitals"/>
    <s v="Rajasthan Royals"/>
    <s v="Rajasthan Royals"/>
    <x v="0"/>
    <x v="2"/>
    <s v="wickets"/>
    <n v="3"/>
    <n v="185"/>
    <n v="20"/>
    <s v="N"/>
    <s v="NA"/>
    <s v="SD Fry"/>
    <s v="CB Gaffaney"/>
  </r>
  <r>
    <n v="829717"/>
    <s v="Mumbai"/>
    <d v="2015-04-12T00:00:00"/>
    <x v="0"/>
    <x v="6"/>
    <x v="4"/>
    <s v="League"/>
    <s v="GJ Bailey"/>
    <s v="Mumbai Indians"/>
    <s v="Kings XI Punjab"/>
    <s v="Mumbai Indians"/>
    <x v="0"/>
    <x v="4"/>
    <s v="runs"/>
    <n v="18"/>
    <n v="178"/>
    <n v="20"/>
    <s v="N"/>
    <s v="NA"/>
    <s v="AK Chaudhary"/>
    <s v="K Srinivasan"/>
  </r>
  <r>
    <n v="829719"/>
    <s v="Bangalore"/>
    <d v="2015-04-13T00:00:00"/>
    <x v="0"/>
    <x v="7"/>
    <x v="5"/>
    <s v="League"/>
    <s v="DA Warner"/>
    <s v="Royal Challengers Bangalore"/>
    <s v="Sunrisers Hyderabad"/>
    <s v="Sunrisers Hyderabad"/>
    <x v="0"/>
    <x v="5"/>
    <s v="wickets"/>
    <n v="8"/>
    <n v="167"/>
    <n v="20"/>
    <s v="N"/>
    <s v="NA"/>
    <s v="RM Deshpande"/>
    <s v="RK Illingworth"/>
  </r>
  <r>
    <n v="829721"/>
    <s v="Ahmedabad"/>
    <d v="2015-04-14T00:00:00"/>
    <x v="0"/>
    <x v="8"/>
    <x v="6"/>
    <s v="League"/>
    <s v="SPD Smith"/>
    <s v="Rajasthan Royals"/>
    <s v="Mumbai Indians"/>
    <s v="Mumbai Indians"/>
    <x v="1"/>
    <x v="2"/>
    <s v="wickets"/>
    <n v="7"/>
    <n v="165"/>
    <n v="20"/>
    <s v="N"/>
    <s v="NA"/>
    <s v="AK Chaudhary"/>
    <s v="SD Fry"/>
  </r>
  <r>
    <n v="829725"/>
    <s v="Pune"/>
    <d v="2015-04-15T00:00:00"/>
    <x v="0"/>
    <x v="9"/>
    <x v="2"/>
    <s v="League"/>
    <s v="MA Agarwal"/>
    <s v="Kings XI Punjab"/>
    <s v="Delhi Capitals"/>
    <s v="Kings XI Punjab"/>
    <x v="1"/>
    <x v="6"/>
    <s v="wickets"/>
    <n v="5"/>
    <n v="166"/>
    <n v="20"/>
    <s v="N"/>
    <s v="NA"/>
    <s v="CB Gaffaney"/>
    <s v="K Srinath"/>
  </r>
  <r>
    <n v="829727"/>
    <s v="Visakhapatnam"/>
    <d v="2015-04-16T00:00:00"/>
    <x v="0"/>
    <x v="10"/>
    <x v="7"/>
    <s v="League"/>
    <s v="AM Rahane"/>
    <s v="Sunrisers Hyderabad"/>
    <s v="Rajasthan Royals"/>
    <s v="Rajasthan Royals"/>
    <x v="0"/>
    <x v="2"/>
    <s v="wickets"/>
    <n v="6"/>
    <n v="128"/>
    <n v="20"/>
    <s v="N"/>
    <s v="NA"/>
    <s v="PG Pathak"/>
    <s v="S Ravi"/>
  </r>
  <r>
    <n v="829729"/>
    <s v="Mumbai"/>
    <d v="2015-04-17T00:00:00"/>
    <x v="0"/>
    <x v="1"/>
    <x v="4"/>
    <s v="League"/>
    <s v="A Nehra"/>
    <s v="Mumbai Indians"/>
    <s v="Chennai Super Kings"/>
    <s v="Mumbai Indians"/>
    <x v="1"/>
    <x v="1"/>
    <s v="wickets"/>
    <n v="6"/>
    <n v="184"/>
    <n v="20"/>
    <s v="N"/>
    <s v="NA"/>
    <s v="AK Chaudhary"/>
    <s v="M Erasmus"/>
  </r>
  <r>
    <n v="829731"/>
    <s v="Visakhapatnam"/>
    <d v="2015-04-18T00:00:00"/>
    <x v="0"/>
    <x v="11"/>
    <x v="7"/>
    <s v="League"/>
    <s v="JP Duminy"/>
    <s v="Sunrisers Hyderabad"/>
    <s v="Delhi Capitals"/>
    <s v="Delhi Capitals"/>
    <x v="1"/>
    <x v="6"/>
    <s v="runs"/>
    <n v="4"/>
    <n v="168"/>
    <n v="20"/>
    <s v="N"/>
    <s v="NA"/>
    <s v="PG Pathak"/>
    <s v="S Ravi"/>
  </r>
  <r>
    <n v="829733"/>
    <s v="Pune"/>
    <d v="2015-04-18T00:00:00"/>
    <x v="0"/>
    <x v="12"/>
    <x v="2"/>
    <s v="League"/>
    <s v="AD Russell"/>
    <s v="Kings XI Punjab"/>
    <s v="Kolkata Knight Riders"/>
    <s v="Kolkata Knight Riders"/>
    <x v="0"/>
    <x v="0"/>
    <s v="wickets"/>
    <n v="4"/>
    <n v="156"/>
    <n v="20"/>
    <s v="N"/>
    <s v="NA"/>
    <s v="SD Fry"/>
    <s v="CK Nandan"/>
  </r>
  <r>
    <n v="829735"/>
    <s v="Ahmedabad"/>
    <d v="2015-04-19T00:00:00"/>
    <x v="0"/>
    <x v="10"/>
    <x v="6"/>
    <s v="League"/>
    <s v="AM Rahane"/>
    <s v="Rajasthan Royals"/>
    <s v="Chennai Super Kings"/>
    <s v="Chennai Super Kings"/>
    <x v="1"/>
    <x v="2"/>
    <s v="wickets"/>
    <n v="8"/>
    <n v="157"/>
    <n v="20"/>
    <s v="N"/>
    <s v="NA"/>
    <s v="AK Chaudhary"/>
    <s v="M Erasmus"/>
  </r>
  <r>
    <n v="829737"/>
    <s v="Bangalore"/>
    <d v="2015-04-19T00:00:00"/>
    <x v="0"/>
    <x v="13"/>
    <x v="5"/>
    <s v="League"/>
    <s v="Harbhajan Singh"/>
    <s v="Royal Challengers Bangalore"/>
    <s v="Mumbai Indians"/>
    <s v="Royal Challengers Bangalore"/>
    <x v="0"/>
    <x v="7"/>
    <s v="runs"/>
    <n v="18"/>
    <n v="210"/>
    <n v="20"/>
    <s v="N"/>
    <s v="NA"/>
    <s v="RK Illingworth"/>
    <s v="VA Kulkarni"/>
  </r>
  <r>
    <n v="829739"/>
    <s v="Delhi"/>
    <d v="2015-04-20T00:00:00"/>
    <x v="0"/>
    <x v="14"/>
    <x v="3"/>
    <s v="League"/>
    <s v="UT Yadav"/>
    <s v="Delhi Capitals"/>
    <s v="Kolkata Knight Riders"/>
    <s v="Kolkata Knight Riders"/>
    <x v="0"/>
    <x v="0"/>
    <s v="wickets"/>
    <n v="6"/>
    <n v="147"/>
    <n v="20"/>
    <s v="N"/>
    <s v="NA"/>
    <s v="SD Fry"/>
    <s v="CB Gaffaney"/>
  </r>
  <r>
    <n v="829741"/>
    <s v="Ahmedabad"/>
    <d v="2015-04-21T00:00:00"/>
    <x v="0"/>
    <x v="15"/>
    <x v="6"/>
    <s v="League"/>
    <s v="SE Marsh"/>
    <s v="Rajasthan Royals"/>
    <s v="Kings XI Punjab"/>
    <s v="Kings XI Punjab"/>
    <x v="0"/>
    <x v="4"/>
    <s v="tie"/>
    <s v="NA"/>
    <n v="192"/>
    <n v="20"/>
    <s v="Y"/>
    <s v="NA"/>
    <s v="M Erasmus"/>
    <s v="S Ravi"/>
  </r>
  <r>
    <n v="829743"/>
    <s v="Visakhapatnam"/>
    <d v="2015-04-22T00:00:00"/>
    <x v="0"/>
    <x v="7"/>
    <x v="7"/>
    <s v="League"/>
    <s v="DA Warner"/>
    <s v="Sunrisers Hyderabad"/>
    <s v="Kolkata Knight Riders"/>
    <s v="Kolkata Knight Riders"/>
    <x v="0"/>
    <x v="5"/>
    <s v="runs"/>
    <n v="16"/>
    <n v="118"/>
    <n v="12"/>
    <s v="N"/>
    <s v="D/L"/>
    <s v="RK Illingworth"/>
    <s v="VA Kulkarni"/>
  </r>
  <r>
    <n v="829745"/>
    <s v="Bangalore"/>
    <d v="2015-04-22T00:00:00"/>
    <x v="0"/>
    <x v="16"/>
    <x v="5"/>
    <s v="League"/>
    <s v="SK Raina"/>
    <s v="Royal Challengers Bangalore"/>
    <s v="Chennai Super Kings"/>
    <s v="Royal Challengers Bangalore"/>
    <x v="0"/>
    <x v="1"/>
    <s v="runs"/>
    <n v="27"/>
    <n v="182"/>
    <n v="20"/>
    <s v="N"/>
    <s v="NA"/>
    <s v="JD Cloete"/>
    <s v="C Shamshuddin"/>
  </r>
  <r>
    <n v="829747"/>
    <s v="Delhi"/>
    <d v="2015-04-23T00:00:00"/>
    <x v="0"/>
    <x v="17"/>
    <x v="3"/>
    <s v="League"/>
    <s v="SS Iyer"/>
    <s v="Delhi Capitals"/>
    <s v="Mumbai Indians"/>
    <s v="Mumbai Indians"/>
    <x v="0"/>
    <x v="6"/>
    <s v="runs"/>
    <n v="37"/>
    <n v="191"/>
    <n v="20"/>
    <s v="N"/>
    <s v="NA"/>
    <s v="SD Fry"/>
    <s v="CK Nandan"/>
  </r>
  <r>
    <n v="829749"/>
    <s v="Ahmedabad"/>
    <d v="2015-04-24T00:00:00"/>
    <x v="0"/>
    <x v="18"/>
    <x v="6"/>
    <s v="League"/>
    <s v="MA Starc"/>
    <s v="Rajasthan Royals"/>
    <s v="Royal Challengers Bangalore"/>
    <s v="Royal Challengers Bangalore"/>
    <x v="0"/>
    <x v="3"/>
    <s v="wickets"/>
    <n v="9"/>
    <n v="131"/>
    <n v="20"/>
    <s v="N"/>
    <s v="NA"/>
    <s v="M Erasmus"/>
    <s v="S Ravi"/>
  </r>
  <r>
    <n v="829751"/>
    <s v="Mumbai"/>
    <d v="2015-04-25T00:00:00"/>
    <x v="0"/>
    <x v="19"/>
    <x v="4"/>
    <s v="League"/>
    <s v="SL Malinga"/>
    <s v="Mumbai Indians"/>
    <s v="Sunrisers Hyderabad"/>
    <s v="Mumbai Indians"/>
    <x v="1"/>
    <x v="7"/>
    <s v="runs"/>
    <n v="20"/>
    <n v="158"/>
    <n v="20"/>
    <s v="N"/>
    <s v="NA"/>
    <s v="HDPK Dharmasena"/>
    <s v="CB Gaffaney"/>
  </r>
  <r>
    <n v="829753"/>
    <s v="Chennai"/>
    <d v="2015-04-25T00:00:00"/>
    <x v="0"/>
    <x v="3"/>
    <x v="1"/>
    <s v="League"/>
    <s v="BB McCullum"/>
    <s v="Chennai Super Kings"/>
    <s v="Kings XI Punjab"/>
    <s v="Chennai Super Kings"/>
    <x v="1"/>
    <x v="1"/>
    <s v="runs"/>
    <n v="97"/>
    <n v="193"/>
    <n v="20"/>
    <s v="N"/>
    <s v="NA"/>
    <s v="JD Cloete"/>
    <s v="C Shamshuddin"/>
  </r>
  <r>
    <n v="829757"/>
    <s v="Delhi"/>
    <d v="2015-04-26T00:00:00"/>
    <x v="0"/>
    <x v="20"/>
    <x v="3"/>
    <s v="League"/>
    <s v="VR Aaron"/>
    <s v="Delhi Capitals"/>
    <s v="Royal Challengers Bangalore"/>
    <s v="Royal Challengers Bangalore"/>
    <x v="0"/>
    <x v="3"/>
    <s v="wickets"/>
    <n v="10"/>
    <n v="96"/>
    <n v="20"/>
    <s v="N"/>
    <s v="NA"/>
    <s v="M Erasmus"/>
    <s v="S Ravi"/>
  </r>
  <r>
    <n v="829759"/>
    <s v="Chandigarh"/>
    <d v="2015-04-27T00:00:00"/>
    <x v="0"/>
    <x v="21"/>
    <x v="8"/>
    <s v="League"/>
    <s v="TA Boult"/>
    <s v="Kings XI Punjab"/>
    <s v="Sunrisers Hyderabad"/>
    <s v="Kings XI Punjab"/>
    <x v="0"/>
    <x v="5"/>
    <s v="runs"/>
    <n v="20"/>
    <n v="151"/>
    <n v="20"/>
    <s v="N"/>
    <s v="NA"/>
    <s v="HDPK Dharmasena"/>
    <s v="CB Gaffaney"/>
  </r>
  <r>
    <n v="829765"/>
    <s v="Chennai"/>
    <d v="2015-04-28T00:00:00"/>
    <x v="0"/>
    <x v="22"/>
    <x v="1"/>
    <s v="League"/>
    <s v="DJ Bravo"/>
    <s v="Chennai Super Kings"/>
    <s v="Kolkata Knight Riders"/>
    <s v="Kolkata Knight Riders"/>
    <x v="0"/>
    <x v="1"/>
    <s v="runs"/>
    <n v="2"/>
    <n v="135"/>
    <n v="20"/>
    <s v="N"/>
    <s v="NA"/>
    <s v="RM Deshpande"/>
    <s v="VA Kulkarni"/>
  </r>
  <r>
    <n v="829763"/>
    <s v="Bangalore"/>
    <d v="2015-04-29T00:00:00"/>
    <x v="0"/>
    <x v="23"/>
    <x v="5"/>
    <s v="League"/>
    <s v="NA"/>
    <s v="Royal Challengers Bangalore"/>
    <s v="Rajasthan Royals"/>
    <s v="Rajasthan Royals"/>
    <x v="0"/>
    <x v="8"/>
    <s v="no result"/>
    <s v="NA"/>
    <s v="NA"/>
    <s v="NA"/>
    <s v="N"/>
    <s v="NA"/>
    <s v="JD Cloete"/>
    <s v="PG Pathak"/>
  </r>
  <r>
    <n v="829723"/>
    <s v="Kolkata"/>
    <d v="2015-04-30T00:00:00"/>
    <x v="0"/>
    <x v="12"/>
    <x v="0"/>
    <s v="League"/>
    <s v="AD Russell"/>
    <s v="Kolkata Knight Riders"/>
    <s v="Chennai Super Kings"/>
    <s v="Kolkata Knight Riders"/>
    <x v="0"/>
    <x v="0"/>
    <s v="wickets"/>
    <n v="7"/>
    <n v="166"/>
    <n v="20"/>
    <s v="N"/>
    <s v="NA"/>
    <s v="AK Chaudhary"/>
    <s v="M Erasmus"/>
  </r>
  <r>
    <n v="829767"/>
    <s v="Delhi"/>
    <d v="2015-05-01T00:00:00"/>
    <x v="0"/>
    <x v="24"/>
    <x v="3"/>
    <s v="League"/>
    <s v="NM Coulter-Nile"/>
    <s v="Delhi Capitals"/>
    <s v="Kings XI Punjab"/>
    <s v="Delhi Capitals"/>
    <x v="0"/>
    <x v="6"/>
    <s v="wickets"/>
    <n v="9"/>
    <n v="119"/>
    <n v="20"/>
    <s v="N"/>
    <s v="NA"/>
    <s v="RK Illingworth"/>
    <s v="S Ravi"/>
  </r>
  <r>
    <n v="829769"/>
    <s v="Mumbai"/>
    <d v="2015-05-01T00:00:00"/>
    <x v="0"/>
    <x v="25"/>
    <x v="4"/>
    <s v="League"/>
    <s v="AT Rayudu"/>
    <s v="Mumbai Indians"/>
    <s v="Rajasthan Royals"/>
    <s v="Rajasthan Royals"/>
    <x v="0"/>
    <x v="7"/>
    <s v="runs"/>
    <n v="8"/>
    <n v="188"/>
    <n v="20"/>
    <s v="N"/>
    <s v="NA"/>
    <s v="HDPK Dharmasena"/>
    <s v="CK Nandan"/>
  </r>
  <r>
    <n v="829771"/>
    <s v="Bangalore"/>
    <d v="2015-05-02T00:00:00"/>
    <x v="0"/>
    <x v="26"/>
    <x v="5"/>
    <s v="League"/>
    <s v="Mandeep Singh"/>
    <s v="Royal Challengers Bangalore"/>
    <s v="Kolkata Knight Riders"/>
    <s v="Royal Challengers Bangalore"/>
    <x v="0"/>
    <x v="3"/>
    <s v="wickets"/>
    <n v="7"/>
    <n v="112"/>
    <n v="10"/>
    <s v="N"/>
    <s v="NA"/>
    <s v="JD Cloete"/>
    <s v="PG Pathak"/>
  </r>
  <r>
    <n v="829773"/>
    <s v="Hyderabad"/>
    <d v="2015-05-02T00:00:00"/>
    <x v="0"/>
    <x v="7"/>
    <x v="9"/>
    <s v="League"/>
    <s v="DA Warner"/>
    <s v="Sunrisers Hyderabad"/>
    <s v="Chennai Super Kings"/>
    <s v="Chennai Super Kings"/>
    <x v="0"/>
    <x v="5"/>
    <s v="runs"/>
    <n v="22"/>
    <n v="193"/>
    <n v="20"/>
    <s v="N"/>
    <s v="NA"/>
    <s v="AK Chaudhary"/>
    <s v="K Srinivasan"/>
  </r>
  <r>
    <n v="829775"/>
    <s v="Chandigarh"/>
    <d v="2015-05-03T00:00:00"/>
    <x v="0"/>
    <x v="27"/>
    <x v="8"/>
    <s v="League"/>
    <s v="LMP Simmons"/>
    <s v="Kings XI Punjab"/>
    <s v="Mumbai Indians"/>
    <s v="Mumbai Indians"/>
    <x v="1"/>
    <x v="7"/>
    <s v="runs"/>
    <n v="23"/>
    <n v="173"/>
    <n v="20"/>
    <s v="N"/>
    <s v="NA"/>
    <s v="RK Illingworth"/>
    <s v="VA Kulkarni"/>
  </r>
  <r>
    <n v="829777"/>
    <s v="Mumbai"/>
    <d v="2015-05-03T00:00:00"/>
    <x v="0"/>
    <x v="10"/>
    <x v="10"/>
    <s v="League"/>
    <s v="AM Rahane"/>
    <s v="Rajasthan Royals"/>
    <s v="Delhi Capitals"/>
    <s v="Delhi Capitals"/>
    <x v="0"/>
    <x v="2"/>
    <s v="runs"/>
    <n v="14"/>
    <n v="190"/>
    <n v="20"/>
    <s v="N"/>
    <s v="NA"/>
    <s v="HDPK Dharmasena"/>
    <s v="CB Gaffaney"/>
  </r>
  <r>
    <n v="829779"/>
    <s v="Chennai"/>
    <d v="2015-05-04T00:00:00"/>
    <x v="0"/>
    <x v="16"/>
    <x v="1"/>
    <s v="League"/>
    <s v="SK Raina"/>
    <s v="Chennai Super Kings"/>
    <s v="Royal Challengers Bangalore"/>
    <s v="Chennai Super Kings"/>
    <x v="1"/>
    <x v="1"/>
    <s v="runs"/>
    <n v="24"/>
    <n v="149"/>
    <n v="20"/>
    <s v="N"/>
    <s v="NA"/>
    <s v="C Shamshuddin"/>
    <s v="K Srinath"/>
  </r>
  <r>
    <n v="829781"/>
    <s v="Kolkata"/>
    <d v="2015-05-04T00:00:00"/>
    <x v="0"/>
    <x v="14"/>
    <x v="0"/>
    <s v="League"/>
    <s v="UT Yadav"/>
    <s v="Kolkata Knight Riders"/>
    <s v="Sunrisers Hyderabad"/>
    <s v="Sunrisers Hyderabad"/>
    <x v="0"/>
    <x v="0"/>
    <s v="runs"/>
    <n v="35"/>
    <n v="168"/>
    <n v="20"/>
    <s v="N"/>
    <s v="NA"/>
    <s v="AK Chaudhary"/>
    <s v="M Erasmus"/>
  </r>
  <r>
    <n v="829783"/>
    <s v="Mumbai"/>
    <d v="2015-05-05T00:00:00"/>
    <x v="0"/>
    <x v="13"/>
    <x v="4"/>
    <s v="League"/>
    <s v="Harbhajan Singh"/>
    <s v="Mumbai Indians"/>
    <s v="Delhi Capitals"/>
    <s v="Delhi Capitals"/>
    <x v="1"/>
    <x v="7"/>
    <s v="wickets"/>
    <n v="5"/>
    <n v="153"/>
    <n v="20"/>
    <s v="N"/>
    <s v="NA"/>
    <s v="HDPK Dharmasena"/>
    <s v="CB Gaffaney"/>
  </r>
  <r>
    <n v="829785"/>
    <s v="Bangalore"/>
    <d v="2015-05-06T00:00:00"/>
    <x v="0"/>
    <x v="4"/>
    <x v="5"/>
    <s v="League"/>
    <s v="CH Gayle"/>
    <s v="Royal Challengers Bangalore"/>
    <s v="Kings XI Punjab"/>
    <s v="Kings XI Punjab"/>
    <x v="0"/>
    <x v="3"/>
    <s v="runs"/>
    <n v="138"/>
    <n v="227"/>
    <n v="20"/>
    <s v="N"/>
    <s v="NA"/>
    <s v="RK Illingworth"/>
    <s v="VA Kulkarni"/>
  </r>
  <r>
    <n v="829761"/>
    <s v="Kolkata"/>
    <d v="2015-05-07T00:00:00"/>
    <x v="0"/>
    <x v="28"/>
    <x v="0"/>
    <s v="League"/>
    <s v="PP Chawla"/>
    <s v="Kolkata Knight Riders"/>
    <s v="Delhi Capitals"/>
    <s v="Kolkata Knight Riders"/>
    <x v="1"/>
    <x v="0"/>
    <s v="runs"/>
    <n v="13"/>
    <n v="172"/>
    <n v="20"/>
    <s v="N"/>
    <s v="NA"/>
    <s v="AK Chaudhary"/>
    <s v="M Erasmus"/>
  </r>
  <r>
    <n v="829787"/>
    <s v="Mumbai"/>
    <d v="2015-05-07T00:00:00"/>
    <x v="0"/>
    <x v="29"/>
    <x v="10"/>
    <s v="League"/>
    <s v="EJG Morgan"/>
    <s v="Rajasthan Royals"/>
    <s v="Sunrisers Hyderabad"/>
    <s v="Rajasthan Royals"/>
    <x v="0"/>
    <x v="5"/>
    <s v="runs"/>
    <n v="7"/>
    <n v="202"/>
    <n v="20"/>
    <s v="N"/>
    <s v="NA"/>
    <s v="JD Cloete"/>
    <s v="C Shamshuddin"/>
  </r>
  <r>
    <n v="829789"/>
    <s v="Chennai"/>
    <d v="2015-05-08T00:00:00"/>
    <x v="0"/>
    <x v="30"/>
    <x v="1"/>
    <s v="League"/>
    <s v="HH Pandya"/>
    <s v="Chennai Super Kings"/>
    <s v="Mumbai Indians"/>
    <s v="Chennai Super Kings"/>
    <x v="1"/>
    <x v="7"/>
    <s v="wickets"/>
    <n v="6"/>
    <n v="159"/>
    <n v="20"/>
    <s v="N"/>
    <s v="NA"/>
    <s v="CB Gaffaney"/>
    <s v="CK Nandan"/>
  </r>
  <r>
    <n v="829791"/>
    <s v="Kolkata"/>
    <d v="2015-05-09T00:00:00"/>
    <x v="0"/>
    <x v="12"/>
    <x v="0"/>
    <s v="League"/>
    <s v="AD Russell"/>
    <s v="Kolkata Knight Riders"/>
    <s v="Kings XI Punjab"/>
    <s v="Kings XI Punjab"/>
    <x v="1"/>
    <x v="0"/>
    <s v="wickets"/>
    <n v="1"/>
    <n v="184"/>
    <n v="20"/>
    <s v="N"/>
    <s v="NA"/>
    <s v="AK Chaudhary"/>
    <s v="HDPK Dharmasena"/>
  </r>
  <r>
    <n v="829793"/>
    <s v="Raipur"/>
    <d v="2015-05-09T00:00:00"/>
    <x v="0"/>
    <x v="31"/>
    <x v="11"/>
    <s v="League"/>
    <s v="MC Henriques"/>
    <s v="Delhi Capitals"/>
    <s v="Sunrisers Hyderabad"/>
    <s v="Sunrisers Hyderabad"/>
    <x v="1"/>
    <x v="5"/>
    <s v="runs"/>
    <n v="6"/>
    <n v="164"/>
    <n v="20"/>
    <s v="N"/>
    <s v="NA"/>
    <s v="VA Kulkarni"/>
    <s v="S Ravi"/>
  </r>
  <r>
    <n v="829795"/>
    <s v="Mumbai"/>
    <d v="2015-05-10T00:00:00"/>
    <x v="0"/>
    <x v="32"/>
    <x v="4"/>
    <s v="League"/>
    <s v="AB de Villiers"/>
    <s v="Mumbai Indians"/>
    <s v="Royal Challengers Bangalore"/>
    <s v="Royal Challengers Bangalore"/>
    <x v="1"/>
    <x v="3"/>
    <s v="runs"/>
    <n v="39"/>
    <n v="236"/>
    <n v="20"/>
    <s v="N"/>
    <s v="NA"/>
    <s v="JD Cloete"/>
    <s v="C Shamshuddin"/>
  </r>
  <r>
    <n v="829797"/>
    <s v="Chennai"/>
    <d v="2015-05-10T00:00:00"/>
    <x v="0"/>
    <x v="33"/>
    <x v="1"/>
    <s v="League"/>
    <s v="RA Jadeja"/>
    <s v="Chennai Super Kings"/>
    <s v="Rajasthan Royals"/>
    <s v="Chennai Super Kings"/>
    <x v="1"/>
    <x v="1"/>
    <s v="runs"/>
    <n v="12"/>
    <n v="158"/>
    <n v="20"/>
    <s v="N"/>
    <s v="NA"/>
    <s v="M Erasmus"/>
    <s v="CK Nandan"/>
  </r>
  <r>
    <n v="829799"/>
    <s v="Hyderabad"/>
    <d v="2015-05-11T00:00:00"/>
    <x v="0"/>
    <x v="7"/>
    <x v="9"/>
    <s v="League"/>
    <s v="DA Warner"/>
    <s v="Sunrisers Hyderabad"/>
    <s v="Kings XI Punjab"/>
    <s v="Sunrisers Hyderabad"/>
    <x v="1"/>
    <x v="5"/>
    <s v="runs"/>
    <n v="5"/>
    <n v="186"/>
    <n v="20"/>
    <s v="N"/>
    <s v="NA"/>
    <s v="AK Chaudhary"/>
    <s v="HDPK Dharmasena"/>
  </r>
  <r>
    <n v="829801"/>
    <s v="Raipur"/>
    <d v="2015-05-12T00:00:00"/>
    <x v="0"/>
    <x v="34"/>
    <x v="11"/>
    <s v="League"/>
    <s v="Z Khan"/>
    <s v="Delhi Capitals"/>
    <s v="Chennai Super Kings"/>
    <s v="Chennai Super Kings"/>
    <x v="1"/>
    <x v="6"/>
    <s v="wickets"/>
    <n v="6"/>
    <n v="120"/>
    <n v="20"/>
    <s v="N"/>
    <s v="NA"/>
    <s v="RK Illingworth"/>
    <s v="VA Kulkarni"/>
  </r>
  <r>
    <n v="829803"/>
    <s v="Chandigarh"/>
    <d v="2015-05-13T00:00:00"/>
    <x v="0"/>
    <x v="35"/>
    <x v="8"/>
    <s v="League"/>
    <s v="AR Patel"/>
    <s v="Kings XI Punjab"/>
    <s v="Royal Challengers Bangalore"/>
    <s v="Royal Challengers Bangalore"/>
    <x v="0"/>
    <x v="4"/>
    <s v="runs"/>
    <n v="22"/>
    <n v="107"/>
    <n v="10"/>
    <s v="N"/>
    <s v="NA"/>
    <s v="JD Cloete"/>
    <s v="C Shamshuddin"/>
  </r>
  <r>
    <n v="829805"/>
    <s v="Mumbai"/>
    <d v="2015-05-14T00:00:00"/>
    <x v="0"/>
    <x v="30"/>
    <x v="4"/>
    <s v="League"/>
    <s v="HH Pandya"/>
    <s v="Mumbai Indians"/>
    <s v="Kolkata Knight Riders"/>
    <s v="Kolkata Knight Riders"/>
    <x v="0"/>
    <x v="7"/>
    <s v="runs"/>
    <n v="5"/>
    <n v="172"/>
    <n v="20"/>
    <s v="N"/>
    <s v="NA"/>
    <s v="RK Illingworth"/>
    <s v="VA Kulkarni"/>
  </r>
  <r>
    <n v="829807"/>
    <s v="Hyderabad"/>
    <d v="2015-05-15T00:00:00"/>
    <x v="0"/>
    <x v="36"/>
    <x v="9"/>
    <s v="League"/>
    <s v="V Kohli"/>
    <s v="Sunrisers Hyderabad"/>
    <s v="Royal Challengers Bangalore"/>
    <s v="Sunrisers Hyderabad"/>
    <x v="1"/>
    <x v="3"/>
    <s v="wickets"/>
    <n v="6"/>
    <n v="81"/>
    <n v="6"/>
    <s v="N"/>
    <s v="D/L"/>
    <s v="AK Chaudhary"/>
    <s v="HDPK Dharmasena"/>
  </r>
  <r>
    <n v="829809"/>
    <s v="Chandigarh"/>
    <d v="2015-05-16T00:00:00"/>
    <x v="0"/>
    <x v="37"/>
    <x v="8"/>
    <s v="League"/>
    <s v="P Negi"/>
    <s v="Kings XI Punjab"/>
    <s v="Chennai Super Kings"/>
    <s v="Kings XI Punjab"/>
    <x v="1"/>
    <x v="1"/>
    <s v="wickets"/>
    <n v="7"/>
    <n v="131"/>
    <n v="20"/>
    <s v="N"/>
    <s v="NA"/>
    <s v="CK Nandan"/>
    <s v="C Shamshuddin"/>
  </r>
  <r>
    <n v="829811"/>
    <s v="Mumbai"/>
    <d v="2015-05-16T00:00:00"/>
    <x v="0"/>
    <x v="38"/>
    <x v="10"/>
    <s v="League"/>
    <s v="SR Watson"/>
    <s v="Rajasthan Royals"/>
    <s v="Kolkata Knight Riders"/>
    <s v="Rajasthan Royals"/>
    <x v="1"/>
    <x v="2"/>
    <s v="runs"/>
    <n v="9"/>
    <n v="200"/>
    <n v="20"/>
    <s v="N"/>
    <s v="NA"/>
    <s v="RM Deshpande"/>
    <s v="RK Illingworth"/>
  </r>
  <r>
    <n v="829813"/>
    <s v="Bangalore"/>
    <d v="2015-05-17T00:00:00"/>
    <x v="0"/>
    <x v="23"/>
    <x v="5"/>
    <s v="League"/>
    <s v="NA"/>
    <s v="Royal Challengers Bangalore"/>
    <s v="Delhi Capitals"/>
    <s v="Royal Challengers Bangalore"/>
    <x v="0"/>
    <x v="8"/>
    <s v="no result"/>
    <s v="NA"/>
    <n v="188"/>
    <n v="20"/>
    <s v="N"/>
    <s v="NA"/>
    <s v="HDPK Dharmasena"/>
    <s v="K Srinivasan"/>
  </r>
  <r>
    <n v="829815"/>
    <s v="Hyderabad"/>
    <d v="2015-05-17T00:00:00"/>
    <x v="0"/>
    <x v="39"/>
    <x v="9"/>
    <s v="League"/>
    <s v="MJ McClenaghan"/>
    <s v="Sunrisers Hyderabad"/>
    <s v="Mumbai Indians"/>
    <s v="Sunrisers Hyderabad"/>
    <x v="1"/>
    <x v="7"/>
    <s v="wickets"/>
    <n v="9"/>
    <n v="114"/>
    <n v="20"/>
    <s v="N"/>
    <s v="NA"/>
    <s v="CB Gaffaney"/>
    <s v="K Srinath"/>
  </r>
  <r>
    <n v="829817"/>
    <s v="Mumbai"/>
    <d v="2015-05-19T00:00:00"/>
    <x v="0"/>
    <x v="40"/>
    <x v="4"/>
    <s v="Qualifier 1"/>
    <s v="KA Pollard"/>
    <s v="Chennai Super Kings"/>
    <s v="Mumbai Indians"/>
    <s v="Mumbai Indians"/>
    <x v="1"/>
    <x v="7"/>
    <s v="runs"/>
    <n v="25"/>
    <n v="188"/>
    <n v="20"/>
    <s v="N"/>
    <s v="NA"/>
    <s v="HDPK Dharmasena"/>
    <s v="RK Illingworth"/>
  </r>
  <r>
    <n v="829819"/>
    <s v="Pune"/>
    <d v="2015-05-20T00:00:00"/>
    <x v="0"/>
    <x v="32"/>
    <x v="2"/>
    <s v="Eliminator"/>
    <s v="AB de Villiers"/>
    <s v="Royal Challengers Bangalore"/>
    <s v="Rajasthan Royals"/>
    <s v="Royal Challengers Bangalore"/>
    <x v="1"/>
    <x v="3"/>
    <s v="runs"/>
    <n v="71"/>
    <n v="181"/>
    <n v="20"/>
    <s v="N"/>
    <s v="NA"/>
    <s v="AK Chaudhary"/>
    <s v="C Shamshuddin"/>
  </r>
  <r>
    <n v="829821"/>
    <s v="Ranchi"/>
    <d v="2015-05-22T00:00:00"/>
    <x v="0"/>
    <x v="1"/>
    <x v="12"/>
    <s v="Qualifier 2"/>
    <s v="A Nehra"/>
    <s v="Chennai Super Kings"/>
    <s v="Royal Challengers Bangalore"/>
    <s v="Chennai Super Kings"/>
    <x v="0"/>
    <x v="1"/>
    <s v="wickets"/>
    <n v="3"/>
    <n v="140"/>
    <n v="20"/>
    <s v="N"/>
    <s v="NA"/>
    <s v="AK Chaudhary"/>
    <s v="CB Gaffaney"/>
  </r>
  <r>
    <n v="829823"/>
    <s v="Kolkata"/>
    <d v="2015-05-24T00:00:00"/>
    <x v="0"/>
    <x v="41"/>
    <x v="0"/>
    <s v="Final"/>
    <s v="RG Sharma"/>
    <s v="Mumbai Indians"/>
    <s v="Chennai Super Kings"/>
    <s v="Chennai Super Kings"/>
    <x v="0"/>
    <x v="7"/>
    <s v="runs"/>
    <n v="41"/>
    <n v="203"/>
    <n v="20"/>
    <s v="N"/>
    <s v="NA"/>
    <s v="HDPK Dharmasena"/>
    <s v="RK Illingworth"/>
  </r>
  <r>
    <n v="980901"/>
    <s v="Mumbai"/>
    <d v="2016-04-09T00:00:00"/>
    <x v="1"/>
    <x v="10"/>
    <x v="4"/>
    <s v="League"/>
    <s v="AM Rahane"/>
    <s v="Mumbai Indians"/>
    <s v="Rising Pune Supergiants"/>
    <s v="Mumbai Indians"/>
    <x v="1"/>
    <x v="9"/>
    <s v="wickets"/>
    <n v="9"/>
    <n v="122"/>
    <n v="20"/>
    <s v="N"/>
    <s v="NA"/>
    <s v="HDPK Dharmasena"/>
    <s v="CK Nandan"/>
  </r>
  <r>
    <n v="980903"/>
    <s v="Kolkata"/>
    <d v="2016-04-10T00:00:00"/>
    <x v="1"/>
    <x v="12"/>
    <x v="0"/>
    <s v="League"/>
    <s v="AD Russell"/>
    <s v="Kolkata Knight Riders"/>
    <s v="Delhi Capitals"/>
    <s v="Kolkata Knight Riders"/>
    <x v="0"/>
    <x v="0"/>
    <s v="wickets"/>
    <n v="9"/>
    <n v="99"/>
    <n v="20"/>
    <s v="N"/>
    <s v="NA"/>
    <s v="S Ravi"/>
    <s v="C Shamshuddin"/>
  </r>
  <r>
    <n v="980905"/>
    <s v="Chandigarh"/>
    <d v="2016-04-11T00:00:00"/>
    <x v="1"/>
    <x v="42"/>
    <x v="13"/>
    <s v="League"/>
    <s v="AJ Finch"/>
    <s v="Kings XI Punjab"/>
    <s v="Gujarat Titans"/>
    <s v="Gujarat Titans"/>
    <x v="0"/>
    <x v="10"/>
    <s v="wickets"/>
    <n v="5"/>
    <n v="162"/>
    <n v="20"/>
    <s v="N"/>
    <s v="NA"/>
    <s v="AK Chaudhary"/>
    <s v="VA Kulkarni"/>
  </r>
  <r>
    <n v="980907"/>
    <s v="Bangalore"/>
    <d v="2016-04-12T00:00:00"/>
    <x v="1"/>
    <x v="32"/>
    <x v="5"/>
    <s v="League"/>
    <s v="AB de Villiers"/>
    <s v="Royal Challengers Bangalore"/>
    <s v="Sunrisers Hyderabad"/>
    <s v="Sunrisers Hyderabad"/>
    <x v="0"/>
    <x v="3"/>
    <s v="runs"/>
    <n v="45"/>
    <n v="228"/>
    <n v="20"/>
    <s v="N"/>
    <s v="NA"/>
    <s v="HDPK Dharmasena"/>
    <s v="VK Sharma"/>
  </r>
  <r>
    <n v="980909"/>
    <s v="Kolkata"/>
    <d v="2016-04-13T00:00:00"/>
    <x v="1"/>
    <x v="41"/>
    <x v="0"/>
    <s v="League"/>
    <s v="RG Sharma"/>
    <s v="Kolkata Knight Riders"/>
    <s v="Mumbai Indians"/>
    <s v="Mumbai Indians"/>
    <x v="0"/>
    <x v="7"/>
    <s v="wickets"/>
    <n v="6"/>
    <n v="188"/>
    <n v="20"/>
    <s v="N"/>
    <s v="NA"/>
    <s v="Nitin Menon"/>
    <s v="S Ravi"/>
  </r>
  <r>
    <n v="980911"/>
    <s v="Rajkot"/>
    <d v="2016-04-14T00:00:00"/>
    <x v="1"/>
    <x v="42"/>
    <x v="14"/>
    <s v="League"/>
    <s v="AJ Finch"/>
    <s v="Gujarat Titans"/>
    <s v="Rising Pune Supergiants"/>
    <s v="Rising Pune Supergiants"/>
    <x v="1"/>
    <x v="10"/>
    <s v="wickets"/>
    <n v="7"/>
    <n v="164"/>
    <n v="20"/>
    <s v="N"/>
    <s v="NA"/>
    <s v="VA Kulkarni"/>
    <s v="CK Nandan"/>
  </r>
  <r>
    <n v="980913"/>
    <s v="Delhi"/>
    <d v="2016-04-15T00:00:00"/>
    <x v="1"/>
    <x v="43"/>
    <x v="3"/>
    <s v="League"/>
    <s v="A Mishra"/>
    <s v="Delhi Capitals"/>
    <s v="Kings XI Punjab"/>
    <s v="Delhi Capitals"/>
    <x v="0"/>
    <x v="6"/>
    <s v="wickets"/>
    <n v="8"/>
    <n v="112"/>
    <n v="20"/>
    <s v="N"/>
    <s v="NA"/>
    <s v="S Ravi"/>
    <s v="C Shamshuddin"/>
  </r>
  <r>
    <n v="980915"/>
    <s v="Hyderabad"/>
    <d v="2016-04-16T00:00:00"/>
    <x v="1"/>
    <x v="44"/>
    <x v="9"/>
    <s v="League"/>
    <s v="G Gambhir"/>
    <s v="Sunrisers Hyderabad"/>
    <s v="Kolkata Knight Riders"/>
    <s v="Sunrisers Hyderabad"/>
    <x v="1"/>
    <x v="0"/>
    <s v="wickets"/>
    <n v="8"/>
    <n v="143"/>
    <n v="20"/>
    <s v="N"/>
    <s v="NA"/>
    <s v="AK Chaudhary"/>
    <s v="CK Nandan"/>
  </r>
  <r>
    <n v="980917"/>
    <s v="Mumbai"/>
    <d v="2016-04-16T00:00:00"/>
    <x v="1"/>
    <x v="42"/>
    <x v="4"/>
    <s v="League"/>
    <s v="AJ Finch"/>
    <s v="Mumbai Indians"/>
    <s v="Gujarat Titans"/>
    <s v="Gujarat Titans"/>
    <x v="0"/>
    <x v="10"/>
    <s v="wickets"/>
    <n v="3"/>
    <n v="144"/>
    <n v="20"/>
    <s v="N"/>
    <s v="NA"/>
    <s v="HDPK Dharmasena"/>
    <s v="VK Sharma"/>
  </r>
  <r>
    <n v="980919"/>
    <s v="Chandigarh"/>
    <d v="2016-04-17T00:00:00"/>
    <x v="1"/>
    <x v="45"/>
    <x v="13"/>
    <s v="League"/>
    <s v="M Vohra"/>
    <s v="Kings XI Punjab"/>
    <s v="Rising Pune Supergiants"/>
    <s v="Rising Pune Supergiants"/>
    <x v="1"/>
    <x v="4"/>
    <s v="wickets"/>
    <n v="6"/>
    <n v="153"/>
    <n v="20"/>
    <s v="N"/>
    <s v="NA"/>
    <s v="S Ravi"/>
    <s v="C Shamshuddin"/>
  </r>
  <r>
    <n v="980921"/>
    <s v="Bangalore"/>
    <d v="2016-04-17T00:00:00"/>
    <x v="1"/>
    <x v="46"/>
    <x v="5"/>
    <s v="League"/>
    <s v="Q de Kock"/>
    <s v="Royal Challengers Bangalore"/>
    <s v="Delhi Capitals"/>
    <s v="Delhi Capitals"/>
    <x v="0"/>
    <x v="6"/>
    <s v="wickets"/>
    <n v="7"/>
    <n v="192"/>
    <n v="20"/>
    <s v="N"/>
    <s v="NA"/>
    <s v="VA Kulkarni"/>
    <s v="A Nand Kishore"/>
  </r>
  <r>
    <n v="980923"/>
    <s v="Hyderabad"/>
    <d v="2016-04-18T00:00:00"/>
    <x v="1"/>
    <x v="7"/>
    <x v="9"/>
    <s v="League"/>
    <s v="DA Warner"/>
    <s v="Sunrisers Hyderabad"/>
    <s v="Mumbai Indians"/>
    <s v="Sunrisers Hyderabad"/>
    <x v="0"/>
    <x v="5"/>
    <s v="wickets"/>
    <n v="7"/>
    <n v="143"/>
    <n v="20"/>
    <s v="N"/>
    <s v="NA"/>
    <s v="HDPK Dharmasena"/>
    <s v="VK Sharma"/>
  </r>
  <r>
    <n v="980925"/>
    <s v="Chandigarh"/>
    <d v="2016-04-19T00:00:00"/>
    <x v="1"/>
    <x v="47"/>
    <x v="13"/>
    <s v="League"/>
    <s v="RV Uthappa"/>
    <s v="Kings XI Punjab"/>
    <s v="Kolkata Knight Riders"/>
    <s v="Kolkata Knight Riders"/>
    <x v="0"/>
    <x v="0"/>
    <s v="wickets"/>
    <n v="6"/>
    <n v="139"/>
    <n v="20"/>
    <s v="N"/>
    <s v="NA"/>
    <s v="S Ravi"/>
    <s v="C Shamshuddin"/>
  </r>
  <r>
    <n v="980927"/>
    <s v="Mumbai"/>
    <d v="2016-04-20T00:00:00"/>
    <x v="1"/>
    <x v="41"/>
    <x v="4"/>
    <s v="League"/>
    <s v="RG Sharma"/>
    <s v="Mumbai Indians"/>
    <s v="Royal Challengers Bangalore"/>
    <s v="Mumbai Indians"/>
    <x v="0"/>
    <x v="7"/>
    <s v="wickets"/>
    <n v="6"/>
    <n v="171"/>
    <n v="20"/>
    <s v="N"/>
    <s v="NA"/>
    <s v="AK Chaudhary"/>
    <s v="CK Nandan"/>
  </r>
  <r>
    <n v="980929"/>
    <s v="Rajkot"/>
    <d v="2016-04-21T00:00:00"/>
    <x v="1"/>
    <x v="48"/>
    <x v="14"/>
    <s v="League"/>
    <s v="B Kumar"/>
    <s v="Gujarat Titans"/>
    <s v="Sunrisers Hyderabad"/>
    <s v="Sunrisers Hyderabad"/>
    <x v="0"/>
    <x v="5"/>
    <s v="wickets"/>
    <n v="10"/>
    <n v="136"/>
    <n v="20"/>
    <s v="N"/>
    <s v="NA"/>
    <s v="K Bharatan"/>
    <s v="HDPK Dharmasena"/>
  </r>
  <r>
    <n v="980931"/>
    <s v="Pune"/>
    <d v="2016-04-22T00:00:00"/>
    <x v="1"/>
    <x v="32"/>
    <x v="2"/>
    <s v="League"/>
    <s v="AB de Villiers"/>
    <s v="Rising Pune Supergiants"/>
    <s v="Royal Challengers Bangalore"/>
    <s v="Rising Pune Supergiants"/>
    <x v="0"/>
    <x v="3"/>
    <s v="runs"/>
    <n v="13"/>
    <n v="186"/>
    <n v="20"/>
    <s v="N"/>
    <s v="NA"/>
    <s v="CB Gaffaney"/>
    <s v="VK Sharma"/>
  </r>
  <r>
    <n v="980933"/>
    <s v="Delhi"/>
    <d v="2016-04-23T00:00:00"/>
    <x v="1"/>
    <x v="49"/>
    <x v="3"/>
    <s v="League"/>
    <s v="SV Samson"/>
    <s v="Delhi Capitals"/>
    <s v="Mumbai Indians"/>
    <s v="Mumbai Indians"/>
    <x v="0"/>
    <x v="6"/>
    <s v="runs"/>
    <n v="10"/>
    <n v="165"/>
    <n v="20"/>
    <s v="N"/>
    <s v="NA"/>
    <s v="S Ravi"/>
    <s v="C Shamshuddin"/>
  </r>
  <r>
    <n v="980935"/>
    <s v="Hyderabad"/>
    <d v="2016-04-23T00:00:00"/>
    <x v="1"/>
    <x v="50"/>
    <x v="9"/>
    <s v="League"/>
    <s v="Mustafizur Rahman"/>
    <s v="Sunrisers Hyderabad"/>
    <s v="Kings XI Punjab"/>
    <s v="Sunrisers Hyderabad"/>
    <x v="0"/>
    <x v="5"/>
    <s v="wickets"/>
    <n v="5"/>
    <n v="144"/>
    <n v="20"/>
    <s v="N"/>
    <s v="NA"/>
    <s v="AK Chaudhary"/>
    <s v="CK Nandan"/>
  </r>
  <r>
    <n v="980937"/>
    <s v="Rajkot"/>
    <d v="2016-04-24T00:00:00"/>
    <x v="1"/>
    <x v="36"/>
    <x v="14"/>
    <s v="League"/>
    <s v="V Kohli"/>
    <s v="Gujarat Titans"/>
    <s v="Royal Challengers Bangalore"/>
    <s v="Royal Challengers Bangalore"/>
    <x v="1"/>
    <x v="10"/>
    <s v="wickets"/>
    <n v="6"/>
    <n v="181"/>
    <n v="20"/>
    <s v="N"/>
    <s v="NA"/>
    <s v="K Bharatan"/>
    <s v="BNJ Oxenford"/>
  </r>
  <r>
    <n v="980939"/>
    <s v="Pune"/>
    <d v="2016-04-24T00:00:00"/>
    <x v="1"/>
    <x v="51"/>
    <x v="2"/>
    <s v="League"/>
    <s v="SA Yadav"/>
    <s v="Rising Pune Supergiants"/>
    <s v="Kolkata Knight Riders"/>
    <s v="Kolkata Knight Riders"/>
    <x v="0"/>
    <x v="0"/>
    <s v="wickets"/>
    <n v="2"/>
    <n v="161"/>
    <n v="20"/>
    <s v="N"/>
    <s v="NA"/>
    <s v="CB Gaffaney"/>
    <s v="A Nand Kishore"/>
  </r>
  <r>
    <n v="980941"/>
    <s v="Chandigarh"/>
    <d v="2016-04-25T00:00:00"/>
    <x v="1"/>
    <x v="52"/>
    <x v="13"/>
    <s v="League"/>
    <s v="PA Patel"/>
    <s v="Kings XI Punjab"/>
    <s v="Mumbai Indians"/>
    <s v="Kings XI Punjab"/>
    <x v="0"/>
    <x v="7"/>
    <s v="runs"/>
    <n v="25"/>
    <n v="190"/>
    <n v="20"/>
    <s v="N"/>
    <s v="NA"/>
    <s v="Nitin Menon"/>
    <s v="RJ Tucker"/>
  </r>
  <r>
    <n v="980943"/>
    <s v="Hyderabad"/>
    <d v="2016-04-26T00:00:00"/>
    <x v="1"/>
    <x v="53"/>
    <x v="9"/>
    <s v="League"/>
    <s v="AB Dinda"/>
    <s v="Sunrisers Hyderabad"/>
    <s v="Rising Pune Supergiants"/>
    <s v="Rising Pune Supergiants"/>
    <x v="0"/>
    <x v="9"/>
    <s v="runs"/>
    <n v="34"/>
    <n v="61"/>
    <n v="11"/>
    <s v="N"/>
    <s v="D/L"/>
    <s v="AY Dandekar"/>
    <s v="CK Nandan"/>
  </r>
  <r>
    <n v="980945"/>
    <s v="Delhi"/>
    <d v="2016-04-27T00:00:00"/>
    <x v="1"/>
    <x v="54"/>
    <x v="3"/>
    <s v="League"/>
    <s v="CH Morris"/>
    <s v="Delhi Capitals"/>
    <s v="Gujarat Titans"/>
    <s v="Delhi Capitals"/>
    <x v="0"/>
    <x v="10"/>
    <s v="runs"/>
    <n v="1"/>
    <n v="173"/>
    <n v="20"/>
    <s v="N"/>
    <s v="NA"/>
    <s v="M Erasmus"/>
    <s v="S Ravi"/>
  </r>
  <r>
    <n v="980947"/>
    <s v="Mumbai"/>
    <d v="2016-04-28T00:00:00"/>
    <x v="1"/>
    <x v="41"/>
    <x v="4"/>
    <s v="League"/>
    <s v="RG Sharma"/>
    <s v="Mumbai Indians"/>
    <s v="Kolkata Knight Riders"/>
    <s v="Mumbai Indians"/>
    <x v="0"/>
    <x v="7"/>
    <s v="wickets"/>
    <n v="6"/>
    <n v="175"/>
    <n v="20"/>
    <s v="N"/>
    <s v="NA"/>
    <s v="Nitin Menon"/>
    <s v="RJ Tucker"/>
  </r>
  <r>
    <n v="980949"/>
    <s v="Pune"/>
    <d v="2016-04-29T00:00:00"/>
    <x v="1"/>
    <x v="55"/>
    <x v="2"/>
    <s v="League"/>
    <s v="DR Smith"/>
    <s v="Rising Pune Supergiants"/>
    <s v="Gujarat Titans"/>
    <s v="Gujarat Titans"/>
    <x v="0"/>
    <x v="10"/>
    <s v="wickets"/>
    <n v="3"/>
    <n v="196"/>
    <n v="20"/>
    <s v="N"/>
    <s v="NA"/>
    <s v="CB Gaffaney"/>
    <s v="BNJ Oxenford"/>
  </r>
  <r>
    <n v="980951"/>
    <s v="Delhi"/>
    <d v="2016-04-30T00:00:00"/>
    <x v="1"/>
    <x v="56"/>
    <x v="3"/>
    <s v="League"/>
    <s v="CR Brathwaite"/>
    <s v="Delhi Capitals"/>
    <s v="Kolkata Knight Riders"/>
    <s v="Kolkata Knight Riders"/>
    <x v="0"/>
    <x v="6"/>
    <s v="runs"/>
    <n v="27"/>
    <n v="187"/>
    <n v="20"/>
    <s v="N"/>
    <s v="NA"/>
    <s v="KN Ananthapadmanabhan"/>
    <s v="M Erasmus"/>
  </r>
  <r>
    <n v="980953"/>
    <s v="Hyderabad"/>
    <d v="2016-04-30T00:00:00"/>
    <x v="1"/>
    <x v="7"/>
    <x v="9"/>
    <s v="League"/>
    <s v="DA Warner"/>
    <s v="Sunrisers Hyderabad"/>
    <s v="Royal Challengers Bangalore"/>
    <s v="Royal Challengers Bangalore"/>
    <x v="0"/>
    <x v="5"/>
    <s v="runs"/>
    <n v="15"/>
    <n v="195"/>
    <n v="20"/>
    <s v="N"/>
    <s v="NA"/>
    <s v="AK Chaudhary"/>
    <s v="HDPK Dharmasena"/>
  </r>
  <r>
    <n v="980955"/>
    <s v="Rajkot"/>
    <d v="2016-05-01T00:00:00"/>
    <x v="1"/>
    <x v="35"/>
    <x v="14"/>
    <s v="League"/>
    <s v="AR Patel"/>
    <s v="Gujarat Titans"/>
    <s v="Kings XI Punjab"/>
    <s v="Gujarat Titans"/>
    <x v="0"/>
    <x v="4"/>
    <s v="runs"/>
    <n v="23"/>
    <n v="155"/>
    <n v="20"/>
    <s v="N"/>
    <s v="NA"/>
    <s v="BNJ Oxenford"/>
    <s v="VK Sharma"/>
  </r>
  <r>
    <n v="980957"/>
    <s v="Pune"/>
    <d v="2016-05-01T00:00:00"/>
    <x v="1"/>
    <x v="41"/>
    <x v="2"/>
    <s v="League"/>
    <s v="RG Sharma"/>
    <s v="Rising Pune Supergiants"/>
    <s v="Mumbai Indians"/>
    <s v="Mumbai Indians"/>
    <x v="0"/>
    <x v="7"/>
    <s v="wickets"/>
    <n v="8"/>
    <n v="160"/>
    <n v="20"/>
    <s v="N"/>
    <s v="NA"/>
    <s v="AY Dandekar"/>
    <s v="RJ Tucker"/>
  </r>
  <r>
    <n v="980959"/>
    <s v="Bangalore"/>
    <d v="2016-05-02T00:00:00"/>
    <x v="1"/>
    <x v="12"/>
    <x v="5"/>
    <s v="League"/>
    <s v="AD Russell"/>
    <s v="Royal Challengers Bangalore"/>
    <s v="Kolkata Knight Riders"/>
    <s v="Kolkata Knight Riders"/>
    <x v="0"/>
    <x v="0"/>
    <s v="wickets"/>
    <n v="5"/>
    <n v="186"/>
    <n v="20"/>
    <s v="N"/>
    <s v="NA"/>
    <s v="M Erasmus"/>
    <s v="S Ravi"/>
  </r>
  <r>
    <n v="980961"/>
    <s v="Rajkot"/>
    <d v="2016-05-03T00:00:00"/>
    <x v="1"/>
    <x v="57"/>
    <x v="14"/>
    <s v="League"/>
    <s v="RR Pant"/>
    <s v="Gujarat Titans"/>
    <s v="Delhi Capitals"/>
    <s v="Delhi Capitals"/>
    <x v="0"/>
    <x v="6"/>
    <s v="wickets"/>
    <n v="8"/>
    <n v="150"/>
    <n v="20"/>
    <s v="N"/>
    <s v="NA"/>
    <s v="CB Gaffaney"/>
    <s v="BNJ Oxenford"/>
  </r>
  <r>
    <n v="980963"/>
    <s v="Kolkata"/>
    <d v="2016-05-04T00:00:00"/>
    <x v="1"/>
    <x v="12"/>
    <x v="0"/>
    <s v="League"/>
    <s v="AD Russell"/>
    <s v="Kolkata Knight Riders"/>
    <s v="Kings XI Punjab"/>
    <s v="Kings XI Punjab"/>
    <x v="0"/>
    <x v="0"/>
    <s v="runs"/>
    <n v="7"/>
    <n v="165"/>
    <n v="20"/>
    <s v="N"/>
    <s v="NA"/>
    <s v="AK Chaudhary"/>
    <s v="HDPK Dharmasena"/>
  </r>
  <r>
    <n v="980965"/>
    <s v="Delhi"/>
    <d v="2016-05-05T00:00:00"/>
    <x v="1"/>
    <x v="10"/>
    <x v="3"/>
    <s v="League"/>
    <s v="AM Rahane"/>
    <s v="Delhi Capitals"/>
    <s v="Rising Pune Supergiants"/>
    <s v="Rising Pune Supergiants"/>
    <x v="0"/>
    <x v="9"/>
    <s v="wickets"/>
    <n v="7"/>
    <n v="163"/>
    <n v="20"/>
    <s v="N"/>
    <s v="NA"/>
    <s v="C Shamshuddin"/>
    <s v="RJ Tucker"/>
  </r>
  <r>
    <n v="980967"/>
    <s v="Hyderabad"/>
    <d v="2016-05-06T00:00:00"/>
    <x v="1"/>
    <x v="48"/>
    <x v="9"/>
    <s v="League"/>
    <s v="B Kumar"/>
    <s v="Sunrisers Hyderabad"/>
    <s v="Gujarat Titans"/>
    <s v="Sunrisers Hyderabad"/>
    <x v="0"/>
    <x v="5"/>
    <s v="wickets"/>
    <n v="5"/>
    <n v="127"/>
    <n v="20"/>
    <s v="N"/>
    <s v="NA"/>
    <s v="M Erasmus"/>
    <s v="S Ravi"/>
  </r>
  <r>
    <n v="980969"/>
    <s v="Bangalore"/>
    <d v="2016-05-07T00:00:00"/>
    <x v="1"/>
    <x v="36"/>
    <x v="5"/>
    <s v="League"/>
    <s v="V Kohli"/>
    <s v="Royal Challengers Bangalore"/>
    <s v="Rising Pune Supergiants"/>
    <s v="Royal Challengers Bangalore"/>
    <x v="0"/>
    <x v="3"/>
    <s v="wickets"/>
    <n v="7"/>
    <n v="192"/>
    <n v="20"/>
    <s v="N"/>
    <s v="NA"/>
    <s v="CB Gaffaney"/>
    <s v="BNJ Oxenford"/>
  </r>
  <r>
    <n v="980971"/>
    <s v="Chandigarh"/>
    <d v="2016-05-07T00:00:00"/>
    <x v="1"/>
    <x v="58"/>
    <x v="13"/>
    <s v="League"/>
    <s v="MP Stoinis"/>
    <s v="Kings XI Punjab"/>
    <s v="Delhi Capitals"/>
    <s v="Delhi Capitals"/>
    <x v="0"/>
    <x v="4"/>
    <s v="runs"/>
    <n v="9"/>
    <n v="182"/>
    <n v="20"/>
    <s v="N"/>
    <s v="NA"/>
    <s v="HDPK Dharmasena"/>
    <s v="CK Nandan"/>
  </r>
  <r>
    <n v="980973"/>
    <s v="Visakhapatnam"/>
    <d v="2016-05-08T00:00:00"/>
    <x v="1"/>
    <x v="1"/>
    <x v="7"/>
    <s v="League"/>
    <s v="A Nehra"/>
    <s v="Mumbai Indians"/>
    <s v="Sunrisers Hyderabad"/>
    <s v="Mumbai Indians"/>
    <x v="0"/>
    <x v="5"/>
    <s v="runs"/>
    <n v="85"/>
    <n v="178"/>
    <n v="20"/>
    <s v="N"/>
    <s v="NA"/>
    <s v="S Ravi"/>
    <s v="C Shamshuddin"/>
  </r>
  <r>
    <n v="980975"/>
    <s v="Kolkata"/>
    <d v="2016-05-08T00:00:00"/>
    <x v="1"/>
    <x v="59"/>
    <x v="0"/>
    <s v="League"/>
    <s v="P Kumar"/>
    <s v="Kolkata Knight Riders"/>
    <s v="Gujarat Titans"/>
    <s v="Gujarat Titans"/>
    <x v="0"/>
    <x v="10"/>
    <s v="wickets"/>
    <n v="5"/>
    <n v="159"/>
    <n v="20"/>
    <s v="N"/>
    <s v="NA"/>
    <s v="M Erasmus"/>
    <s v="RJ Tucker"/>
  </r>
  <r>
    <n v="980977"/>
    <s v="Chandigarh"/>
    <d v="2016-05-09T00:00:00"/>
    <x v="1"/>
    <x v="38"/>
    <x v="13"/>
    <s v="League"/>
    <s v="SR Watson"/>
    <s v="Kings XI Punjab"/>
    <s v="Royal Challengers Bangalore"/>
    <s v="Kings XI Punjab"/>
    <x v="0"/>
    <x v="3"/>
    <s v="runs"/>
    <n v="1"/>
    <n v="176"/>
    <n v="20"/>
    <s v="N"/>
    <s v="NA"/>
    <s v="AK Chaudhary"/>
    <s v="HDPK Dharmasena"/>
  </r>
  <r>
    <n v="980979"/>
    <s v="Visakhapatnam"/>
    <d v="2016-05-10T00:00:00"/>
    <x v="1"/>
    <x v="60"/>
    <x v="7"/>
    <s v="League"/>
    <s v="A Zampa"/>
    <s v="Rising Pune Supergiants"/>
    <s v="Sunrisers Hyderabad"/>
    <s v="Sunrisers Hyderabad"/>
    <x v="1"/>
    <x v="5"/>
    <s v="runs"/>
    <n v="4"/>
    <n v="138"/>
    <n v="20"/>
    <s v="N"/>
    <s v="NA"/>
    <s v="CB Gaffaney"/>
    <s v="VK Sharma"/>
  </r>
  <r>
    <n v="980981"/>
    <s v="Bangalore"/>
    <d v="2016-05-11T00:00:00"/>
    <x v="1"/>
    <x v="61"/>
    <x v="5"/>
    <s v="League"/>
    <s v="KH Pandya"/>
    <s v="Royal Challengers Bangalore"/>
    <s v="Mumbai Indians"/>
    <s v="Mumbai Indians"/>
    <x v="0"/>
    <x v="7"/>
    <s v="wickets"/>
    <n v="6"/>
    <n v="152"/>
    <n v="20"/>
    <s v="N"/>
    <s v="NA"/>
    <s v="AY Dandekar"/>
    <s v="C Shamshuddin"/>
  </r>
  <r>
    <n v="980983"/>
    <s v="Hyderabad"/>
    <d v="2016-05-12T00:00:00"/>
    <x v="1"/>
    <x v="54"/>
    <x v="9"/>
    <s v="League"/>
    <s v="CH Morris"/>
    <s v="Sunrisers Hyderabad"/>
    <s v="Delhi Capitals"/>
    <s v="Delhi Capitals"/>
    <x v="0"/>
    <x v="6"/>
    <s v="wickets"/>
    <n v="7"/>
    <n v="147"/>
    <n v="20"/>
    <s v="N"/>
    <s v="NA"/>
    <s v="K Bharatan"/>
    <s v="M Erasmus"/>
  </r>
  <r>
    <n v="980985"/>
    <s v="Visakhapatnam"/>
    <d v="2016-05-13T00:00:00"/>
    <x v="1"/>
    <x v="58"/>
    <x v="7"/>
    <s v="League"/>
    <s v="MP Stoinis"/>
    <s v="Mumbai Indians"/>
    <s v="Kings XI Punjab"/>
    <s v="Mumbai Indians"/>
    <x v="1"/>
    <x v="4"/>
    <s v="wickets"/>
    <n v="7"/>
    <n v="125"/>
    <n v="20"/>
    <s v="N"/>
    <s v="NA"/>
    <s v="HDPK Dharmasena"/>
    <s v="CK Nandan"/>
  </r>
  <r>
    <n v="980987"/>
    <s v="Bangalore"/>
    <d v="2016-05-14T00:00:00"/>
    <x v="1"/>
    <x v="32"/>
    <x v="5"/>
    <s v="League"/>
    <s v="AB de Villiers"/>
    <s v="Royal Challengers Bangalore"/>
    <s v="Gujarat Titans"/>
    <s v="Gujarat Titans"/>
    <x v="0"/>
    <x v="3"/>
    <s v="runs"/>
    <n v="144"/>
    <n v="249"/>
    <n v="20"/>
    <s v="N"/>
    <s v="NA"/>
    <s v="AY Dandekar"/>
    <s v="VK Sharma"/>
  </r>
  <r>
    <n v="980989"/>
    <s v="Kolkata"/>
    <d v="2016-05-14T00:00:00"/>
    <x v="1"/>
    <x v="62"/>
    <x v="0"/>
    <s v="League"/>
    <s v="YK Pathan"/>
    <s v="Kolkata Knight Riders"/>
    <s v="Rising Pune Supergiants"/>
    <s v="Rising Pune Supergiants"/>
    <x v="1"/>
    <x v="0"/>
    <s v="wickets"/>
    <n v="8"/>
    <n v="66"/>
    <n v="9"/>
    <s v="N"/>
    <s v="D/L"/>
    <s v="A Nand Kishore"/>
    <s v="BNJ Oxenford"/>
  </r>
  <r>
    <n v="980991"/>
    <s v="Chandigarh"/>
    <d v="2016-05-15T00:00:00"/>
    <x v="1"/>
    <x v="63"/>
    <x v="13"/>
    <s v="League"/>
    <s v="HM Amla"/>
    <s v="Kings XI Punjab"/>
    <s v="Sunrisers Hyderabad"/>
    <s v="Kings XI Punjab"/>
    <x v="1"/>
    <x v="5"/>
    <s v="wickets"/>
    <n v="7"/>
    <n v="180"/>
    <n v="20"/>
    <s v="N"/>
    <s v="NA"/>
    <s v="KN Ananthapadmanabhan"/>
    <s v="M Erasmus"/>
  </r>
  <r>
    <n v="980993"/>
    <s v="Visakhapatnam"/>
    <d v="2016-05-15T00:00:00"/>
    <x v="1"/>
    <x v="61"/>
    <x v="7"/>
    <s v="League"/>
    <s v="KH Pandya"/>
    <s v="Mumbai Indians"/>
    <s v="Delhi Capitals"/>
    <s v="Delhi Capitals"/>
    <x v="0"/>
    <x v="7"/>
    <s v="runs"/>
    <n v="80"/>
    <n v="207"/>
    <n v="20"/>
    <s v="N"/>
    <s v="NA"/>
    <s v="Nitin Menon"/>
    <s v="CK Nandan"/>
  </r>
  <r>
    <n v="980995"/>
    <s v="Kolkata"/>
    <d v="2016-05-16T00:00:00"/>
    <x v="1"/>
    <x v="36"/>
    <x v="0"/>
    <s v="League"/>
    <s v="V Kohli"/>
    <s v="Kolkata Knight Riders"/>
    <s v="Royal Challengers Bangalore"/>
    <s v="Royal Challengers Bangalore"/>
    <x v="0"/>
    <x v="3"/>
    <s v="wickets"/>
    <n v="9"/>
    <n v="184"/>
    <n v="20"/>
    <s v="N"/>
    <s v="NA"/>
    <s v="CB Gaffaney"/>
    <s v="A Nand Kishore"/>
  </r>
  <r>
    <n v="980997"/>
    <s v="Visakhapatnam"/>
    <d v="2016-05-17T00:00:00"/>
    <x v="1"/>
    <x v="53"/>
    <x v="7"/>
    <s v="League"/>
    <s v="AB Dinda"/>
    <s v="Rising Pune Supergiants"/>
    <s v="Delhi Capitals"/>
    <s v="Rising Pune Supergiants"/>
    <x v="0"/>
    <x v="9"/>
    <s v="runs"/>
    <n v="19"/>
    <n v="58"/>
    <n v="11"/>
    <s v="N"/>
    <s v="D/L"/>
    <s v="Nitin Menon"/>
    <s v="C Shamshuddin"/>
  </r>
  <r>
    <n v="980999"/>
    <s v="Bangalore"/>
    <d v="2016-05-18T00:00:00"/>
    <x v="1"/>
    <x v="36"/>
    <x v="5"/>
    <s v="League"/>
    <s v="V Kohli"/>
    <s v="Royal Challengers Bangalore"/>
    <s v="Kings XI Punjab"/>
    <s v="Kings XI Punjab"/>
    <x v="0"/>
    <x v="3"/>
    <s v="runs"/>
    <n v="82"/>
    <n v="203"/>
    <n v="14"/>
    <s v="N"/>
    <s v="D/L"/>
    <s v="KN Ananthapadmanabhan"/>
    <s v="M Erasmus"/>
  </r>
  <r>
    <n v="981001"/>
    <s v="Kanpur"/>
    <d v="2016-05-19T00:00:00"/>
    <x v="1"/>
    <x v="55"/>
    <x v="15"/>
    <s v="League"/>
    <s v="DR Smith"/>
    <s v="Gujarat Titans"/>
    <s v="Kolkata Knight Riders"/>
    <s v="Gujarat Titans"/>
    <x v="0"/>
    <x v="10"/>
    <s v="wickets"/>
    <n v="6"/>
    <n v="125"/>
    <n v="20"/>
    <s v="N"/>
    <s v="NA"/>
    <s v="AK Chaudhary"/>
    <s v="CK Nandan"/>
  </r>
  <r>
    <n v="981003"/>
    <s v="Raipur"/>
    <d v="2016-05-20T00:00:00"/>
    <x v="1"/>
    <x v="64"/>
    <x v="11"/>
    <s v="League"/>
    <s v="KK Nair"/>
    <s v="Delhi Capitals"/>
    <s v="Sunrisers Hyderabad"/>
    <s v="Delhi Capitals"/>
    <x v="0"/>
    <x v="6"/>
    <s v="wickets"/>
    <n v="6"/>
    <n v="159"/>
    <n v="20"/>
    <s v="N"/>
    <s v="NA"/>
    <s v="A Nand Kishore"/>
    <s v="BNJ Oxenford"/>
  </r>
  <r>
    <n v="981005"/>
    <s v="Visakhapatnam"/>
    <d v="2016-05-21T00:00:00"/>
    <x v="1"/>
    <x v="65"/>
    <x v="7"/>
    <s v="League"/>
    <s v="MS Dhoni"/>
    <s v="Rising Pune Supergiants"/>
    <s v="Kings XI Punjab"/>
    <s v="Kings XI Punjab"/>
    <x v="1"/>
    <x v="9"/>
    <s v="wickets"/>
    <n v="4"/>
    <n v="173"/>
    <n v="20"/>
    <s v="N"/>
    <s v="NA"/>
    <s v="HDPK Dharmasena"/>
    <s v="Nitin Menon"/>
  </r>
  <r>
    <n v="981007"/>
    <s v="Kanpur"/>
    <d v="2016-05-21T00:00:00"/>
    <x v="1"/>
    <x v="16"/>
    <x v="15"/>
    <s v="League"/>
    <s v="SK Raina"/>
    <s v="Gujarat Titans"/>
    <s v="Mumbai Indians"/>
    <s v="Gujarat Titans"/>
    <x v="0"/>
    <x v="10"/>
    <s v="wickets"/>
    <n v="6"/>
    <n v="173"/>
    <n v="20"/>
    <s v="N"/>
    <s v="NA"/>
    <s v="AK Chaudhary"/>
    <s v="CK Nandan"/>
  </r>
  <r>
    <n v="981009"/>
    <s v="Kolkata"/>
    <d v="2016-05-22T00:00:00"/>
    <x v="1"/>
    <x v="62"/>
    <x v="0"/>
    <s v="League"/>
    <s v="YK Pathan"/>
    <s v="Kolkata Knight Riders"/>
    <s v="Sunrisers Hyderabad"/>
    <s v="Sunrisers Hyderabad"/>
    <x v="0"/>
    <x v="0"/>
    <s v="runs"/>
    <n v="22"/>
    <n v="172"/>
    <n v="20"/>
    <s v="N"/>
    <s v="NA"/>
    <s v="KN Ananthapadmanabhan"/>
    <s v="M Erasmus"/>
  </r>
  <r>
    <n v="981011"/>
    <s v="Raipur"/>
    <d v="2016-05-22T00:00:00"/>
    <x v="1"/>
    <x v="36"/>
    <x v="11"/>
    <s v="League"/>
    <s v="V Kohli"/>
    <s v="Delhi Capitals"/>
    <s v="Royal Challengers Bangalore"/>
    <s v="Royal Challengers Bangalore"/>
    <x v="0"/>
    <x v="3"/>
    <s v="wickets"/>
    <n v="6"/>
    <n v="139"/>
    <n v="20"/>
    <s v="N"/>
    <s v="NA"/>
    <s v="A Nand Kishore"/>
    <s v="BNJ Oxenford"/>
  </r>
  <r>
    <n v="981013"/>
    <s v="Bangalore"/>
    <d v="2016-05-24T00:00:00"/>
    <x v="1"/>
    <x v="32"/>
    <x v="5"/>
    <s v="Qualifier 1"/>
    <s v="AB de Villiers"/>
    <s v="Gujarat Titans"/>
    <s v="Royal Challengers Bangalore"/>
    <s v="Royal Challengers Bangalore"/>
    <x v="0"/>
    <x v="3"/>
    <s v="wickets"/>
    <n v="4"/>
    <n v="159"/>
    <n v="20"/>
    <s v="N"/>
    <s v="NA"/>
    <s v="AK Chaudhary"/>
    <s v="HDPK Dharmasena"/>
  </r>
  <r>
    <n v="981015"/>
    <s v="Delhi"/>
    <d v="2016-05-25T00:00:00"/>
    <x v="1"/>
    <x v="31"/>
    <x v="3"/>
    <s v="Elimination Final"/>
    <s v="MC Henriques"/>
    <s v="Sunrisers Hyderabad"/>
    <s v="Kolkata Knight Riders"/>
    <s v="Kolkata Knight Riders"/>
    <x v="0"/>
    <x v="5"/>
    <s v="runs"/>
    <n v="22"/>
    <n v="163"/>
    <n v="20"/>
    <s v="N"/>
    <s v="NA"/>
    <s v="M Erasmus"/>
    <s v="C Shamshuddin"/>
  </r>
  <r>
    <n v="981017"/>
    <s v="Delhi"/>
    <d v="2016-05-27T00:00:00"/>
    <x v="1"/>
    <x v="7"/>
    <x v="3"/>
    <s v="Qualifier 2"/>
    <s v="DA Warner"/>
    <s v="Gujarat Titans"/>
    <s v="Sunrisers Hyderabad"/>
    <s v="Sunrisers Hyderabad"/>
    <x v="0"/>
    <x v="5"/>
    <s v="wickets"/>
    <n v="4"/>
    <n v="163"/>
    <n v="20"/>
    <s v="N"/>
    <s v="NA"/>
    <s v="M Erasmus"/>
    <s v="CK Nandan"/>
  </r>
  <r>
    <n v="981019"/>
    <s v="Bangalore"/>
    <d v="2016-05-29T00:00:00"/>
    <x v="1"/>
    <x v="66"/>
    <x v="5"/>
    <s v="Final"/>
    <s v="BCJ Cutting"/>
    <s v="Royal Challengers Bangalore"/>
    <s v="Sunrisers Hyderabad"/>
    <s v="Sunrisers Hyderabad"/>
    <x v="1"/>
    <x v="5"/>
    <s v="runs"/>
    <n v="8"/>
    <n v="209"/>
    <n v="20"/>
    <s v="N"/>
    <s v="NA"/>
    <s v="HDPK Dharmasena"/>
    <s v="BNJ Oxenford"/>
  </r>
  <r>
    <n v="1082591"/>
    <s v="Hyderabad"/>
    <d v="2017-04-05T00:00:00"/>
    <x v="2"/>
    <x v="67"/>
    <x v="9"/>
    <s v="League"/>
    <s v="Yuvraj Singh"/>
    <s v="Sunrisers Hyderabad"/>
    <s v="Royal Challengers Bangalore"/>
    <s v="Royal Challengers Bangalore"/>
    <x v="0"/>
    <x v="5"/>
    <s v="runs"/>
    <n v="35"/>
    <n v="208"/>
    <n v="20"/>
    <s v="N"/>
    <s v="NA"/>
    <s v="AY Dandekar"/>
    <s v="NJ Llong"/>
  </r>
  <r>
    <n v="1082592"/>
    <s v="Pune"/>
    <d v="2017-04-06T00:00:00"/>
    <x v="2"/>
    <x v="8"/>
    <x v="2"/>
    <s v="League"/>
    <s v="SPD Smith"/>
    <s v="Rising Pune Supergiants"/>
    <s v="Mumbai Indians"/>
    <s v="Rising Pune Supergiants"/>
    <x v="0"/>
    <x v="9"/>
    <s v="wickets"/>
    <n v="7"/>
    <n v="185"/>
    <n v="20"/>
    <s v="N"/>
    <s v="NA"/>
    <s v="A Nand Kishore"/>
    <s v="S Ravi"/>
  </r>
  <r>
    <n v="1082593"/>
    <s v="Rajkot"/>
    <d v="2017-04-07T00:00:00"/>
    <x v="2"/>
    <x v="68"/>
    <x v="14"/>
    <s v="League"/>
    <s v="CA Lynn"/>
    <s v="Gujarat Titans"/>
    <s v="Kolkata Knight Riders"/>
    <s v="Kolkata Knight Riders"/>
    <x v="0"/>
    <x v="0"/>
    <s v="wickets"/>
    <n v="10"/>
    <n v="184"/>
    <n v="20"/>
    <s v="N"/>
    <s v="NA"/>
    <s v="Nitin Menon"/>
    <s v="CK Nandan"/>
  </r>
  <r>
    <n v="1082594"/>
    <s v="Indore"/>
    <d v="2017-04-08T00:00:00"/>
    <x v="2"/>
    <x v="69"/>
    <x v="16"/>
    <s v="League"/>
    <s v="GJ Maxwell"/>
    <s v="Kings XI Punjab"/>
    <s v="Rising Pune Supergiants"/>
    <s v="Kings XI Punjab"/>
    <x v="0"/>
    <x v="4"/>
    <s v="wickets"/>
    <n v="6"/>
    <n v="164"/>
    <n v="20"/>
    <s v="N"/>
    <s v="NA"/>
    <s v="AK Chaudhary"/>
    <s v="C Shamshuddin"/>
  </r>
  <r>
    <n v="1082595"/>
    <s v="Bengaluru"/>
    <d v="2017-04-08T00:00:00"/>
    <x v="2"/>
    <x v="70"/>
    <x v="17"/>
    <s v="League"/>
    <s v="KM Jadhav"/>
    <s v="Royal Challengers Bangalore"/>
    <s v="Delhi Capitals"/>
    <s v="Royal Challengers Bangalore"/>
    <x v="1"/>
    <x v="3"/>
    <s v="runs"/>
    <n v="15"/>
    <n v="158"/>
    <n v="20"/>
    <s v="N"/>
    <s v="NA"/>
    <s v="S Ravi"/>
    <s v="VK Sharma"/>
  </r>
  <r>
    <n v="1082596"/>
    <s v="Hyderabad"/>
    <d v="2017-04-09T00:00:00"/>
    <x v="2"/>
    <x v="71"/>
    <x v="9"/>
    <s v="League"/>
    <s v="Rashid Khan"/>
    <s v="Sunrisers Hyderabad"/>
    <s v="Gujarat Titans"/>
    <s v="Sunrisers Hyderabad"/>
    <x v="0"/>
    <x v="5"/>
    <s v="wickets"/>
    <n v="9"/>
    <n v="136"/>
    <n v="20"/>
    <s v="N"/>
    <s v="NA"/>
    <s v="A Deshmukh"/>
    <s v="NJ Llong"/>
  </r>
  <r>
    <n v="1082597"/>
    <s v="Mumbai"/>
    <d v="2017-04-09T00:00:00"/>
    <x v="2"/>
    <x v="72"/>
    <x v="4"/>
    <s v="League"/>
    <s v="N Rana"/>
    <s v="Mumbai Indians"/>
    <s v="Kolkata Knight Riders"/>
    <s v="Mumbai Indians"/>
    <x v="0"/>
    <x v="7"/>
    <s v="wickets"/>
    <n v="4"/>
    <n v="179"/>
    <n v="20"/>
    <s v="N"/>
    <s v="NA"/>
    <s v="Nitin Menon"/>
    <s v="CK Nandan"/>
  </r>
  <r>
    <n v="1082598"/>
    <s v="Indore"/>
    <d v="2017-04-10T00:00:00"/>
    <x v="2"/>
    <x v="35"/>
    <x v="16"/>
    <s v="League"/>
    <s v="AR Patel"/>
    <s v="Kings XI Punjab"/>
    <s v="Royal Challengers Bangalore"/>
    <s v="Royal Challengers Bangalore"/>
    <x v="1"/>
    <x v="4"/>
    <s v="wickets"/>
    <n v="8"/>
    <n v="149"/>
    <n v="20"/>
    <s v="N"/>
    <s v="NA"/>
    <s v="AK Chaudhary"/>
    <s v="C Shamshuddin"/>
  </r>
  <r>
    <n v="1082599"/>
    <s v="Pune"/>
    <d v="2017-04-11T00:00:00"/>
    <x v="2"/>
    <x v="49"/>
    <x v="2"/>
    <s v="League"/>
    <s v="SV Samson"/>
    <s v="Rising Pune Supergiants"/>
    <s v="Delhi Capitals"/>
    <s v="Rising Pune Supergiants"/>
    <x v="0"/>
    <x v="6"/>
    <s v="runs"/>
    <n v="97"/>
    <n v="206"/>
    <n v="20"/>
    <s v="N"/>
    <s v="NA"/>
    <s v="AY Dandekar"/>
    <s v="S Ravi"/>
  </r>
  <r>
    <n v="1082600"/>
    <s v="Mumbai"/>
    <d v="2017-04-12T00:00:00"/>
    <x v="2"/>
    <x v="73"/>
    <x v="4"/>
    <s v="League"/>
    <s v="JJ Bumrah"/>
    <s v="Mumbai Indians"/>
    <s v="Sunrisers Hyderabad"/>
    <s v="Mumbai Indians"/>
    <x v="0"/>
    <x v="7"/>
    <s v="wickets"/>
    <n v="4"/>
    <n v="159"/>
    <n v="20"/>
    <s v="N"/>
    <s v="NA"/>
    <s v="Nitin Menon"/>
    <s v="CK Nandan"/>
  </r>
  <r>
    <n v="1082601"/>
    <s v="Kolkata"/>
    <d v="2017-04-13T00:00:00"/>
    <x v="2"/>
    <x v="74"/>
    <x v="0"/>
    <s v="League"/>
    <s v="SP Narine"/>
    <s v="Kolkata Knight Riders"/>
    <s v="Kings XI Punjab"/>
    <s v="Kolkata Knight Riders"/>
    <x v="0"/>
    <x v="0"/>
    <s v="wickets"/>
    <n v="8"/>
    <n v="171"/>
    <n v="20"/>
    <s v="N"/>
    <s v="NA"/>
    <s v="A Deshmukh"/>
    <s v="NJ Llong"/>
  </r>
  <r>
    <n v="1082602"/>
    <s v="Bangalore"/>
    <d v="2017-04-14T00:00:00"/>
    <x v="2"/>
    <x v="40"/>
    <x v="5"/>
    <s v="League"/>
    <s v="KA Pollard"/>
    <s v="Royal Challengers Bangalore"/>
    <s v="Mumbai Indians"/>
    <s v="Mumbai Indians"/>
    <x v="0"/>
    <x v="7"/>
    <s v="wickets"/>
    <n v="4"/>
    <n v="143"/>
    <n v="20"/>
    <s v="N"/>
    <s v="NA"/>
    <s v="KN Ananthapadmanabhan"/>
    <s v="AK Chaudhary"/>
  </r>
  <r>
    <n v="1082603"/>
    <s v="Rajkot"/>
    <d v="2017-04-14T00:00:00"/>
    <x v="2"/>
    <x v="75"/>
    <x v="14"/>
    <s v="League"/>
    <s v="AJ Tye"/>
    <s v="Gujarat Titans"/>
    <s v="Rising Pune Supergiants"/>
    <s v="Gujarat Titans"/>
    <x v="0"/>
    <x v="10"/>
    <s v="wickets"/>
    <n v="7"/>
    <n v="172"/>
    <n v="20"/>
    <s v="N"/>
    <s v="NA"/>
    <s v="A Nand Kishore"/>
    <s v="S Ravi"/>
  </r>
  <r>
    <n v="1082604"/>
    <s v="Kolkata"/>
    <d v="2017-04-15T00:00:00"/>
    <x v="2"/>
    <x v="47"/>
    <x v="0"/>
    <s v="League"/>
    <s v="RV Uthappa"/>
    <s v="Kolkata Knight Riders"/>
    <s v="Sunrisers Hyderabad"/>
    <s v="Sunrisers Hyderabad"/>
    <x v="0"/>
    <x v="0"/>
    <s v="runs"/>
    <n v="17"/>
    <n v="173"/>
    <n v="20"/>
    <s v="N"/>
    <s v="NA"/>
    <s v="AY Dandekar"/>
    <s v="NJ Llong"/>
  </r>
  <r>
    <n v="1082605"/>
    <s v="Delhi"/>
    <d v="2017-04-15T00:00:00"/>
    <x v="2"/>
    <x v="76"/>
    <x v="3"/>
    <s v="League"/>
    <s v="CJ Anderson"/>
    <s v="Delhi Capitals"/>
    <s v="Kings XI Punjab"/>
    <s v="Delhi Capitals"/>
    <x v="1"/>
    <x v="6"/>
    <s v="runs"/>
    <n v="51"/>
    <n v="189"/>
    <n v="20"/>
    <s v="N"/>
    <s v="NA"/>
    <s v="YC Barde"/>
    <s v="Nitin Menon"/>
  </r>
  <r>
    <n v="1082606"/>
    <s v="Mumbai"/>
    <d v="2017-04-16T00:00:00"/>
    <x v="2"/>
    <x v="72"/>
    <x v="4"/>
    <s v="League"/>
    <s v="N Rana"/>
    <s v="Mumbai Indians"/>
    <s v="Gujarat Titans"/>
    <s v="Mumbai Indians"/>
    <x v="0"/>
    <x v="7"/>
    <s v="wickets"/>
    <n v="6"/>
    <n v="177"/>
    <n v="20"/>
    <s v="N"/>
    <s v="NA"/>
    <s v="A Nand Kishore"/>
    <s v="S Ravi"/>
  </r>
  <r>
    <n v="1082607"/>
    <s v="Bangalore"/>
    <d v="2017-04-16T00:00:00"/>
    <x v="2"/>
    <x v="77"/>
    <x v="5"/>
    <s v="League"/>
    <s v="BA Stokes"/>
    <s v="Royal Challengers Bangalore"/>
    <s v="Rising Pune Supergiants"/>
    <s v="Royal Challengers Bangalore"/>
    <x v="0"/>
    <x v="9"/>
    <s v="runs"/>
    <n v="27"/>
    <n v="162"/>
    <n v="20"/>
    <s v="N"/>
    <s v="NA"/>
    <s v="KN Ananthapadmanabhan"/>
    <s v="C Shamshuddin"/>
  </r>
  <r>
    <n v="1082608"/>
    <s v="Delhi"/>
    <d v="2017-04-17T00:00:00"/>
    <x v="2"/>
    <x v="24"/>
    <x v="3"/>
    <s v="League"/>
    <s v="NM Coulter-Nile"/>
    <s v="Delhi Capitals"/>
    <s v="Kolkata Knight Riders"/>
    <s v="Delhi Capitals"/>
    <x v="1"/>
    <x v="0"/>
    <s v="wickets"/>
    <n v="4"/>
    <n v="169"/>
    <n v="20"/>
    <s v="N"/>
    <s v="NA"/>
    <s v="Nitin Menon"/>
    <s v="CK Nandan"/>
  </r>
  <r>
    <n v="1082609"/>
    <s v="Hyderabad"/>
    <d v="2017-04-17T00:00:00"/>
    <x v="2"/>
    <x v="48"/>
    <x v="9"/>
    <s v="League"/>
    <s v="B Kumar"/>
    <s v="Sunrisers Hyderabad"/>
    <s v="Kings XI Punjab"/>
    <s v="Kings XI Punjab"/>
    <x v="0"/>
    <x v="5"/>
    <s v="runs"/>
    <n v="5"/>
    <n v="160"/>
    <n v="20"/>
    <s v="N"/>
    <s v="NA"/>
    <s v="AY Dandekar"/>
    <s v="A Deshmukh"/>
  </r>
  <r>
    <n v="1082610"/>
    <s v="Rajkot"/>
    <d v="2017-04-18T00:00:00"/>
    <x v="2"/>
    <x v="4"/>
    <x v="14"/>
    <s v="League"/>
    <s v="CH Gayle"/>
    <s v="Gujarat Titans"/>
    <s v="Royal Challengers Bangalore"/>
    <s v="Gujarat Titans"/>
    <x v="0"/>
    <x v="3"/>
    <s v="runs"/>
    <n v="21"/>
    <n v="214"/>
    <n v="20"/>
    <s v="N"/>
    <s v="NA"/>
    <s v="S Ravi"/>
    <s v="VK Sharma"/>
  </r>
  <r>
    <n v="1082611"/>
    <s v="Hyderabad"/>
    <d v="2017-04-19T00:00:00"/>
    <x v="2"/>
    <x v="78"/>
    <x v="9"/>
    <s v="League"/>
    <s v="KS Williamson"/>
    <s v="Sunrisers Hyderabad"/>
    <s v="Delhi Capitals"/>
    <s v="Sunrisers Hyderabad"/>
    <x v="1"/>
    <x v="5"/>
    <s v="runs"/>
    <n v="15"/>
    <n v="192"/>
    <n v="20"/>
    <s v="N"/>
    <s v="NA"/>
    <s v="CB Gaffaney"/>
    <s v="NJ Llong"/>
  </r>
  <r>
    <n v="1082612"/>
    <s v="Indore"/>
    <d v="2017-04-20T00:00:00"/>
    <x v="2"/>
    <x v="79"/>
    <x v="16"/>
    <s v="League"/>
    <s v="JC Buttler"/>
    <s v="Kings XI Punjab"/>
    <s v="Mumbai Indians"/>
    <s v="Mumbai Indians"/>
    <x v="0"/>
    <x v="7"/>
    <s v="wickets"/>
    <n v="8"/>
    <n v="199"/>
    <n v="20"/>
    <s v="N"/>
    <s v="NA"/>
    <s v="M Erasmus"/>
    <s v="C Shamshuddin"/>
  </r>
  <r>
    <n v="1082613"/>
    <s v="Kolkata"/>
    <d v="2017-04-21T00:00:00"/>
    <x v="2"/>
    <x v="16"/>
    <x v="0"/>
    <s v="League"/>
    <s v="SK Raina"/>
    <s v="Kolkata Knight Riders"/>
    <s v="Gujarat Titans"/>
    <s v="Gujarat Titans"/>
    <x v="0"/>
    <x v="10"/>
    <s v="wickets"/>
    <n v="4"/>
    <n v="188"/>
    <n v="20"/>
    <s v="N"/>
    <s v="NA"/>
    <s v="CB Gaffaney"/>
    <s v="Nitin Menon"/>
  </r>
  <r>
    <n v="1082614"/>
    <s v="Mumbai"/>
    <d v="2017-04-22T00:00:00"/>
    <x v="2"/>
    <x v="39"/>
    <x v="4"/>
    <s v="League"/>
    <s v="MJ McClenaghan"/>
    <s v="Mumbai Indians"/>
    <s v="Delhi Capitals"/>
    <s v="Delhi Capitals"/>
    <x v="0"/>
    <x v="7"/>
    <s v="runs"/>
    <n v="14"/>
    <n v="143"/>
    <n v="20"/>
    <s v="N"/>
    <s v="NA"/>
    <s v="A Nand Kishore"/>
    <s v="S Ravi"/>
  </r>
  <r>
    <n v="1082615"/>
    <s v="Pune"/>
    <d v="2017-04-22T00:00:00"/>
    <x v="2"/>
    <x v="65"/>
    <x v="2"/>
    <s v="League"/>
    <s v="MS Dhoni"/>
    <s v="Rising Pune Supergiants"/>
    <s v="Sunrisers Hyderabad"/>
    <s v="Rising Pune Supergiants"/>
    <x v="0"/>
    <x v="9"/>
    <s v="wickets"/>
    <n v="6"/>
    <n v="177"/>
    <n v="20"/>
    <s v="N"/>
    <s v="NA"/>
    <s v="AY Dandekar"/>
    <s v="A Deshmukh"/>
  </r>
  <r>
    <n v="1082616"/>
    <s v="Rajkot"/>
    <d v="2017-04-23T00:00:00"/>
    <x v="2"/>
    <x v="63"/>
    <x v="14"/>
    <s v="League"/>
    <s v="HM Amla"/>
    <s v="Gujarat Titans"/>
    <s v="Kings XI Punjab"/>
    <s v="Gujarat Titans"/>
    <x v="0"/>
    <x v="4"/>
    <s v="runs"/>
    <n v="26"/>
    <n v="189"/>
    <n v="20"/>
    <s v="N"/>
    <s v="NA"/>
    <s v="AK Chaudhary"/>
    <s v="M Erasmus"/>
  </r>
  <r>
    <n v="1082617"/>
    <s v="Kolkata"/>
    <d v="2017-04-23T00:00:00"/>
    <x v="2"/>
    <x v="24"/>
    <x v="0"/>
    <s v="League"/>
    <s v="NM Coulter-Nile"/>
    <s v="Kolkata Knight Riders"/>
    <s v="Royal Challengers Bangalore"/>
    <s v="Royal Challengers Bangalore"/>
    <x v="0"/>
    <x v="0"/>
    <s v="runs"/>
    <n v="82"/>
    <n v="132"/>
    <n v="20"/>
    <s v="N"/>
    <s v="NA"/>
    <s v="CB Gaffaney"/>
    <s v="CK Nandan"/>
  </r>
  <r>
    <n v="1082618"/>
    <s v="Mumbai"/>
    <d v="2017-04-24T00:00:00"/>
    <x v="2"/>
    <x v="77"/>
    <x v="4"/>
    <s v="League"/>
    <s v="BA Stokes"/>
    <s v="Mumbai Indians"/>
    <s v="Rising Pune Supergiants"/>
    <s v="Mumbai Indians"/>
    <x v="0"/>
    <x v="9"/>
    <s v="runs"/>
    <n v="3"/>
    <n v="161"/>
    <n v="20"/>
    <s v="N"/>
    <s v="NA"/>
    <s v="A Nand Kishore"/>
    <s v="S Ravi"/>
  </r>
  <r>
    <n v="1082620"/>
    <s v="Pune"/>
    <d v="2017-04-26T00:00:00"/>
    <x v="2"/>
    <x v="47"/>
    <x v="2"/>
    <s v="League"/>
    <s v="RV Uthappa"/>
    <s v="Rising Pune Supergiants"/>
    <s v="Kolkata Knight Riders"/>
    <s v="Kolkata Knight Riders"/>
    <x v="0"/>
    <x v="0"/>
    <s v="wickets"/>
    <n v="7"/>
    <n v="183"/>
    <n v="20"/>
    <s v="N"/>
    <s v="NA"/>
    <s v="AY Dandekar"/>
    <s v="NJ Llong"/>
  </r>
  <r>
    <n v="1082621"/>
    <s v="Bangalore"/>
    <d v="2017-04-27T00:00:00"/>
    <x v="2"/>
    <x v="75"/>
    <x v="5"/>
    <s v="League"/>
    <s v="AJ Tye"/>
    <s v="Royal Challengers Bangalore"/>
    <s v="Gujarat Titans"/>
    <s v="Gujarat Titans"/>
    <x v="0"/>
    <x v="10"/>
    <s v="wickets"/>
    <n v="7"/>
    <n v="135"/>
    <n v="20"/>
    <s v="N"/>
    <s v="NA"/>
    <s v="AK Chaudhary"/>
    <s v="C Shamshuddin"/>
  </r>
  <r>
    <n v="1082622"/>
    <s v="Kolkata"/>
    <d v="2017-04-28T00:00:00"/>
    <x v="2"/>
    <x v="44"/>
    <x v="0"/>
    <s v="League"/>
    <s v="G Gambhir"/>
    <s v="Kolkata Knight Riders"/>
    <s v="Delhi Capitals"/>
    <s v="Kolkata Knight Riders"/>
    <x v="0"/>
    <x v="0"/>
    <s v="wickets"/>
    <n v="7"/>
    <n v="161"/>
    <n v="20"/>
    <s v="N"/>
    <s v="NA"/>
    <s v="NJ Llong"/>
    <s v="S Ravi"/>
  </r>
  <r>
    <n v="1082623"/>
    <s v="Chandigarh"/>
    <d v="2017-04-28T00:00:00"/>
    <x v="2"/>
    <x v="71"/>
    <x v="13"/>
    <s v="League"/>
    <s v="Rashid Khan"/>
    <s v="Kings XI Punjab"/>
    <s v="Sunrisers Hyderabad"/>
    <s v="Kings XI Punjab"/>
    <x v="0"/>
    <x v="5"/>
    <s v="runs"/>
    <n v="26"/>
    <n v="208"/>
    <n v="20"/>
    <s v="N"/>
    <s v="NA"/>
    <s v="Nitin Menon"/>
    <s v="CK Nandan"/>
  </r>
  <r>
    <n v="1082624"/>
    <s v="Pune"/>
    <d v="2017-04-29T00:00:00"/>
    <x v="2"/>
    <x v="80"/>
    <x v="2"/>
    <s v="League"/>
    <s v="LH Ferguson"/>
    <s v="Rising Pune Supergiants"/>
    <s v="Royal Challengers Bangalore"/>
    <s v="Royal Challengers Bangalore"/>
    <x v="0"/>
    <x v="9"/>
    <s v="runs"/>
    <n v="61"/>
    <n v="158"/>
    <n v="20"/>
    <s v="N"/>
    <s v="NA"/>
    <s v="KN Ananthapadmanabhan"/>
    <s v="M Erasmus"/>
  </r>
  <r>
    <n v="1082625"/>
    <s v="Rajkot"/>
    <d v="2017-04-29T00:00:00"/>
    <x v="2"/>
    <x v="61"/>
    <x v="14"/>
    <s v="League"/>
    <s v="KH Pandya"/>
    <s v="Gujarat Titans"/>
    <s v="Mumbai Indians"/>
    <s v="Gujarat Titans"/>
    <x v="1"/>
    <x v="7"/>
    <s v="tie"/>
    <s v="NA"/>
    <n v="154"/>
    <n v="20"/>
    <s v="Y"/>
    <s v="NA"/>
    <s v="AK Chaudhary"/>
    <s v="CB Gaffaney"/>
  </r>
  <r>
    <n v="1082626"/>
    <s v="Chandigarh"/>
    <d v="2017-04-30T00:00:00"/>
    <x v="2"/>
    <x v="81"/>
    <x v="13"/>
    <s v="League"/>
    <s v="Sandeep Sharma"/>
    <s v="Kings XI Punjab"/>
    <s v="Delhi Capitals"/>
    <s v="Kings XI Punjab"/>
    <x v="0"/>
    <x v="4"/>
    <s v="wickets"/>
    <n v="10"/>
    <n v="68"/>
    <n v="20"/>
    <s v="N"/>
    <s v="NA"/>
    <s v="YC Barde"/>
    <s v="CK Nandan"/>
  </r>
  <r>
    <n v="1082627"/>
    <s v="Hyderabad"/>
    <d v="2017-04-30T00:00:00"/>
    <x v="2"/>
    <x v="7"/>
    <x v="9"/>
    <s v="League"/>
    <s v="DA Warner"/>
    <s v="Sunrisers Hyderabad"/>
    <s v="Kolkata Knight Riders"/>
    <s v="Kolkata Knight Riders"/>
    <x v="0"/>
    <x v="5"/>
    <s v="runs"/>
    <n v="48"/>
    <n v="210"/>
    <n v="20"/>
    <s v="N"/>
    <s v="NA"/>
    <s v="AY Dandekar"/>
    <s v="S Ravi"/>
  </r>
  <r>
    <n v="1082628"/>
    <s v="Mumbai"/>
    <d v="2017-05-01T00:00:00"/>
    <x v="2"/>
    <x v="41"/>
    <x v="4"/>
    <s v="League"/>
    <s v="RG Sharma"/>
    <s v="Mumbai Indians"/>
    <s v="Royal Challengers Bangalore"/>
    <s v="Royal Challengers Bangalore"/>
    <x v="1"/>
    <x v="7"/>
    <s v="wickets"/>
    <n v="5"/>
    <n v="163"/>
    <n v="20"/>
    <s v="N"/>
    <s v="NA"/>
    <s v="AK Chaudhary"/>
    <s v="CB Gaffaney"/>
  </r>
  <r>
    <n v="1082629"/>
    <s v="Pune"/>
    <d v="2017-05-01T00:00:00"/>
    <x v="2"/>
    <x v="77"/>
    <x v="2"/>
    <s v="League"/>
    <s v="BA Stokes"/>
    <s v="Rising Pune Supergiants"/>
    <s v="Gujarat Titans"/>
    <s v="Rising Pune Supergiants"/>
    <x v="0"/>
    <x v="9"/>
    <s v="wickets"/>
    <n v="5"/>
    <n v="162"/>
    <n v="20"/>
    <s v="N"/>
    <s v="NA"/>
    <s v="M Erasmus"/>
    <s v="C Shamshuddin"/>
  </r>
  <r>
    <n v="1082630"/>
    <s v="Delhi"/>
    <d v="2017-05-02T00:00:00"/>
    <x v="2"/>
    <x v="82"/>
    <x v="3"/>
    <s v="League"/>
    <s v="Mohammed Shami"/>
    <s v="Delhi Capitals"/>
    <s v="Sunrisers Hyderabad"/>
    <s v="Delhi Capitals"/>
    <x v="0"/>
    <x v="6"/>
    <s v="wickets"/>
    <n v="6"/>
    <n v="186"/>
    <n v="20"/>
    <s v="N"/>
    <s v="NA"/>
    <s v="YC Barde"/>
    <s v="Nitin Menon"/>
  </r>
  <r>
    <n v="1082631"/>
    <s v="Kolkata"/>
    <d v="2017-05-03T00:00:00"/>
    <x v="2"/>
    <x v="83"/>
    <x v="0"/>
    <s v="League"/>
    <s v="RA Tripathi"/>
    <s v="Kolkata Knight Riders"/>
    <s v="Rising Pune Supergiants"/>
    <s v="Rising Pune Supergiants"/>
    <x v="0"/>
    <x v="9"/>
    <s v="wickets"/>
    <n v="4"/>
    <n v="156"/>
    <n v="20"/>
    <s v="N"/>
    <s v="NA"/>
    <s v="KN Ananthapadmanabhan"/>
    <s v="A Nand Kishore"/>
  </r>
  <r>
    <n v="1082632"/>
    <s v="Delhi"/>
    <d v="2017-05-04T00:00:00"/>
    <x v="2"/>
    <x v="57"/>
    <x v="3"/>
    <s v="League"/>
    <s v="RR Pant"/>
    <s v="Delhi Capitals"/>
    <s v="Gujarat Titans"/>
    <s v="Delhi Capitals"/>
    <x v="0"/>
    <x v="6"/>
    <s v="wickets"/>
    <n v="7"/>
    <n v="209"/>
    <n v="20"/>
    <s v="N"/>
    <s v="NA"/>
    <s v="M Erasmus"/>
    <s v="Nitin Menon"/>
  </r>
  <r>
    <n v="1082633"/>
    <s v="Bangalore"/>
    <d v="2017-05-05T00:00:00"/>
    <x v="2"/>
    <x v="81"/>
    <x v="5"/>
    <s v="League"/>
    <s v="Sandeep Sharma"/>
    <s v="Royal Challengers Bangalore"/>
    <s v="Kings XI Punjab"/>
    <s v="Royal Challengers Bangalore"/>
    <x v="0"/>
    <x v="4"/>
    <s v="runs"/>
    <n v="19"/>
    <n v="139"/>
    <n v="20"/>
    <s v="N"/>
    <s v="NA"/>
    <s v="CB Gaffaney"/>
    <s v="C Shamshuddin"/>
  </r>
  <r>
    <n v="1082634"/>
    <s v="Hyderabad"/>
    <d v="2017-05-06T00:00:00"/>
    <x v="2"/>
    <x v="84"/>
    <x v="9"/>
    <s v="League"/>
    <s v="JD Unadkat"/>
    <s v="Sunrisers Hyderabad"/>
    <s v="Rising Pune Supergiants"/>
    <s v="Sunrisers Hyderabad"/>
    <x v="0"/>
    <x v="9"/>
    <s v="runs"/>
    <n v="12"/>
    <n v="149"/>
    <n v="20"/>
    <s v="N"/>
    <s v="NA"/>
    <s v="KN Ananthapadmanabhan"/>
    <s v="AK Chaudhary"/>
  </r>
  <r>
    <n v="1082635"/>
    <s v="Delhi"/>
    <d v="2017-05-06T00:00:00"/>
    <x v="2"/>
    <x v="27"/>
    <x v="3"/>
    <s v="League"/>
    <s v="LMP Simmons"/>
    <s v="Delhi Capitals"/>
    <s v="Mumbai Indians"/>
    <s v="Delhi Capitals"/>
    <x v="0"/>
    <x v="7"/>
    <s v="runs"/>
    <n v="146"/>
    <n v="213"/>
    <n v="20"/>
    <s v="N"/>
    <s v="NA"/>
    <s v="Nitin Menon"/>
    <s v="CK Nandan"/>
  </r>
  <r>
    <n v="1082636"/>
    <s v="Bangalore"/>
    <d v="2017-05-07T00:00:00"/>
    <x v="2"/>
    <x v="74"/>
    <x v="5"/>
    <s v="League"/>
    <s v="SP Narine"/>
    <s v="Royal Challengers Bangalore"/>
    <s v="Kolkata Knight Riders"/>
    <s v="Kolkata Knight Riders"/>
    <x v="0"/>
    <x v="0"/>
    <s v="wickets"/>
    <n v="6"/>
    <n v="159"/>
    <n v="20"/>
    <s v="N"/>
    <s v="NA"/>
    <s v="AY Dandekar"/>
    <s v="C Shamshuddin"/>
  </r>
  <r>
    <n v="1082637"/>
    <s v="Chandigarh"/>
    <d v="2017-05-07T00:00:00"/>
    <x v="2"/>
    <x v="55"/>
    <x v="13"/>
    <s v="League"/>
    <s v="DR Smith"/>
    <s v="Kings XI Punjab"/>
    <s v="Gujarat Titans"/>
    <s v="Gujarat Titans"/>
    <x v="0"/>
    <x v="10"/>
    <s v="wickets"/>
    <n v="6"/>
    <n v="190"/>
    <n v="20"/>
    <s v="N"/>
    <s v="NA"/>
    <s v="A Nand Kishore"/>
    <s v="VK Sharma"/>
  </r>
  <r>
    <n v="1082638"/>
    <s v="Hyderabad"/>
    <d v="2017-05-08T00:00:00"/>
    <x v="2"/>
    <x v="85"/>
    <x v="9"/>
    <s v="League"/>
    <s v="S Dhawan"/>
    <s v="Sunrisers Hyderabad"/>
    <s v="Mumbai Indians"/>
    <s v="Mumbai Indians"/>
    <x v="1"/>
    <x v="5"/>
    <s v="wickets"/>
    <n v="7"/>
    <n v="139"/>
    <n v="20"/>
    <s v="N"/>
    <s v="NA"/>
    <s v="KN Ananthapadmanabhan"/>
    <s v="M Erasmus"/>
  </r>
  <r>
    <n v="1082639"/>
    <s v="Chandigarh"/>
    <d v="2017-05-09T00:00:00"/>
    <x v="2"/>
    <x v="86"/>
    <x v="13"/>
    <s v="League"/>
    <s v="MM Sharma"/>
    <s v="Kings XI Punjab"/>
    <s v="Kolkata Knight Riders"/>
    <s v="Kolkata Knight Riders"/>
    <x v="0"/>
    <x v="4"/>
    <s v="runs"/>
    <n v="14"/>
    <n v="168"/>
    <n v="20"/>
    <s v="N"/>
    <s v="NA"/>
    <s v="A Nand Kishore"/>
    <s v="S Ravi"/>
  </r>
  <r>
    <n v="1082640"/>
    <s v="Kanpur"/>
    <d v="2017-05-10T00:00:00"/>
    <x v="2"/>
    <x v="17"/>
    <x v="15"/>
    <s v="League"/>
    <s v="SS Iyer"/>
    <s v="Gujarat Titans"/>
    <s v="Delhi Capitals"/>
    <s v="Delhi Capitals"/>
    <x v="0"/>
    <x v="6"/>
    <s v="wickets"/>
    <n v="2"/>
    <n v="196"/>
    <n v="20"/>
    <s v="N"/>
    <s v="NA"/>
    <s v="YC Barde"/>
    <s v="AK Chaudhary"/>
  </r>
  <r>
    <n v="1082641"/>
    <s v="Mumbai"/>
    <d v="2017-05-11T00:00:00"/>
    <x v="2"/>
    <x v="87"/>
    <x v="4"/>
    <s v="League"/>
    <s v="WP Saha"/>
    <s v="Mumbai Indians"/>
    <s v="Kings XI Punjab"/>
    <s v="Mumbai Indians"/>
    <x v="0"/>
    <x v="4"/>
    <s v="runs"/>
    <n v="7"/>
    <n v="231"/>
    <n v="20"/>
    <s v="N"/>
    <s v="NA"/>
    <s v="A Deshmukh"/>
    <s v="A Nand Kishore"/>
  </r>
  <r>
    <n v="1082642"/>
    <s v="Delhi"/>
    <d v="2017-05-12T00:00:00"/>
    <x v="2"/>
    <x v="64"/>
    <x v="3"/>
    <s v="League"/>
    <s v="KK Nair"/>
    <s v="Delhi Capitals"/>
    <s v="Rising Pune Supergiants"/>
    <s v="Delhi Capitals"/>
    <x v="1"/>
    <x v="6"/>
    <s v="runs"/>
    <n v="7"/>
    <n v="169"/>
    <n v="20"/>
    <s v="N"/>
    <s v="NA"/>
    <s v="KN Ananthapadmanabhan"/>
    <s v="CK Nandan"/>
  </r>
  <r>
    <n v="1082643"/>
    <s v="Kanpur"/>
    <d v="2017-05-13T00:00:00"/>
    <x v="2"/>
    <x v="88"/>
    <x v="15"/>
    <s v="League"/>
    <s v="Mohammed Siraj"/>
    <s v="Gujarat Titans"/>
    <s v="Sunrisers Hyderabad"/>
    <s v="Sunrisers Hyderabad"/>
    <x v="0"/>
    <x v="5"/>
    <s v="wickets"/>
    <n v="8"/>
    <n v="155"/>
    <n v="20"/>
    <s v="N"/>
    <s v="NA"/>
    <s v="AK Chaudhary"/>
    <s v="Nitin Menon"/>
  </r>
  <r>
    <n v="1082644"/>
    <s v="Kolkata"/>
    <d v="2017-05-13T00:00:00"/>
    <x v="2"/>
    <x v="25"/>
    <x v="0"/>
    <s v="League"/>
    <s v="AT Rayudu"/>
    <s v="Kolkata Knight Riders"/>
    <s v="Mumbai Indians"/>
    <s v="Kolkata Knight Riders"/>
    <x v="0"/>
    <x v="7"/>
    <s v="runs"/>
    <n v="9"/>
    <n v="174"/>
    <n v="20"/>
    <s v="N"/>
    <s v="NA"/>
    <s v="A Nand Kishore"/>
    <s v="S Ravi"/>
  </r>
  <r>
    <n v="1082645"/>
    <s v="Pune"/>
    <d v="2017-05-14T00:00:00"/>
    <x v="2"/>
    <x v="84"/>
    <x v="2"/>
    <s v="League"/>
    <s v="JD Unadkat"/>
    <s v="Rising Pune Supergiants"/>
    <s v="Kings XI Punjab"/>
    <s v="Rising Pune Supergiants"/>
    <x v="0"/>
    <x v="9"/>
    <s v="wickets"/>
    <n v="9"/>
    <n v="74"/>
    <n v="20"/>
    <s v="N"/>
    <s v="NA"/>
    <s v="AY Dandekar"/>
    <s v="A Deshmukh"/>
  </r>
  <r>
    <n v="1082646"/>
    <s v="Delhi"/>
    <d v="2017-05-14T00:00:00"/>
    <x v="2"/>
    <x v="89"/>
    <x v="3"/>
    <s v="League"/>
    <s v="HV Patel"/>
    <s v="Delhi Capitals"/>
    <s v="Royal Challengers Bangalore"/>
    <s v="Royal Challengers Bangalore"/>
    <x v="1"/>
    <x v="3"/>
    <s v="runs"/>
    <n v="10"/>
    <n v="162"/>
    <n v="20"/>
    <s v="N"/>
    <s v="NA"/>
    <s v="CK Nandan"/>
    <s v="C Shamshuddin"/>
  </r>
  <r>
    <n v="1082647"/>
    <s v="Mumbai"/>
    <d v="2017-05-16T00:00:00"/>
    <x v="2"/>
    <x v="90"/>
    <x v="4"/>
    <s v="Qualifier 1"/>
    <s v="Washington Sundar"/>
    <s v="Mumbai Indians"/>
    <s v="Rising Pune Supergiants"/>
    <s v="Mumbai Indians"/>
    <x v="0"/>
    <x v="9"/>
    <s v="runs"/>
    <n v="20"/>
    <n v="163"/>
    <n v="20"/>
    <s v="N"/>
    <s v="NA"/>
    <s v="S Ravi"/>
    <s v="C Shamshuddin"/>
  </r>
  <r>
    <n v="1082648"/>
    <s v="Bangalore"/>
    <d v="2017-05-17T00:00:00"/>
    <x v="2"/>
    <x v="24"/>
    <x v="5"/>
    <s v="Eliminator"/>
    <s v="NM Coulter-Nile"/>
    <s v="Sunrisers Hyderabad"/>
    <s v="Kolkata Knight Riders"/>
    <s v="Kolkata Knight Riders"/>
    <x v="0"/>
    <x v="0"/>
    <s v="wickets"/>
    <n v="7"/>
    <n v="48"/>
    <n v="6"/>
    <s v="N"/>
    <s v="D/L"/>
    <s v="AK Chaudhary"/>
    <s v="Nitin Menon"/>
  </r>
  <r>
    <n v="1082649"/>
    <s v="Bangalore"/>
    <d v="2017-05-19T00:00:00"/>
    <x v="2"/>
    <x v="91"/>
    <x v="5"/>
    <s v="Qualifier 2"/>
    <s v="KV Sharma"/>
    <s v="Mumbai Indians"/>
    <s v="Kolkata Knight Riders"/>
    <s v="Mumbai Indians"/>
    <x v="0"/>
    <x v="7"/>
    <s v="wickets"/>
    <n v="6"/>
    <n v="108"/>
    <n v="20"/>
    <s v="N"/>
    <s v="NA"/>
    <s v="NJ Llong"/>
    <s v="Nitin Menon"/>
  </r>
  <r>
    <n v="1082650"/>
    <s v="Hyderabad"/>
    <d v="2017-05-21T00:00:00"/>
    <x v="2"/>
    <x v="61"/>
    <x v="9"/>
    <s v="Final"/>
    <s v="KH Pandya"/>
    <s v="Mumbai Indians"/>
    <s v="Rising Pune Supergiants"/>
    <s v="Mumbai Indians"/>
    <x v="1"/>
    <x v="7"/>
    <s v="runs"/>
    <n v="1"/>
    <n v="130"/>
    <n v="20"/>
    <s v="N"/>
    <s v="NA"/>
    <s v="NJ Llong"/>
    <s v="S Ravi"/>
  </r>
  <r>
    <n v="1136561"/>
    <s v="Mumbai"/>
    <d v="2018-04-07T00:00:00"/>
    <x v="3"/>
    <x v="22"/>
    <x v="4"/>
    <s v="League"/>
    <s v="DJ Bravo"/>
    <s v="Mumbai Indians"/>
    <s v="Chennai Super Kings"/>
    <s v="Chennai Super Kings"/>
    <x v="0"/>
    <x v="1"/>
    <s v="wickets"/>
    <n v="1"/>
    <n v="166"/>
    <n v="20"/>
    <s v="N"/>
    <s v="NA"/>
    <s v="CB Gaffaney"/>
    <s v="A Nand Kishore"/>
  </r>
  <r>
    <n v="1136562"/>
    <s v="Chandigarh"/>
    <d v="2018-04-08T00:00:00"/>
    <x v="3"/>
    <x v="92"/>
    <x v="18"/>
    <s v="League"/>
    <s v="KL Rahul"/>
    <s v="Delhi Capitals"/>
    <s v="Kings XI Punjab"/>
    <s v="Kings XI Punjab"/>
    <x v="0"/>
    <x v="4"/>
    <s v="wickets"/>
    <n v="6"/>
    <n v="167"/>
    <n v="20"/>
    <s v="N"/>
    <s v="NA"/>
    <s v="KN Ananthapadmanabhan"/>
    <s v="RJ Tucker"/>
  </r>
  <r>
    <n v="1136563"/>
    <s v="Kolkata"/>
    <d v="2018-04-08T00:00:00"/>
    <x v="3"/>
    <x v="74"/>
    <x v="0"/>
    <s v="League"/>
    <s v="SP Narine"/>
    <s v="Royal Challengers Bangalore"/>
    <s v="Kolkata Knight Riders"/>
    <s v="Kolkata Knight Riders"/>
    <x v="0"/>
    <x v="0"/>
    <s v="wickets"/>
    <n v="4"/>
    <n v="177"/>
    <n v="20"/>
    <s v="N"/>
    <s v="NA"/>
    <s v="A Deshmukh"/>
    <s v="C Shamshuddin"/>
  </r>
  <r>
    <n v="1136564"/>
    <s v="Hyderabad"/>
    <d v="2018-04-09T00:00:00"/>
    <x v="3"/>
    <x v="85"/>
    <x v="19"/>
    <s v="League"/>
    <s v="S Dhawan"/>
    <s v="Rajasthan Royals"/>
    <s v="Sunrisers Hyderabad"/>
    <s v="Sunrisers Hyderabad"/>
    <x v="0"/>
    <x v="5"/>
    <s v="wickets"/>
    <n v="9"/>
    <n v="126"/>
    <n v="20"/>
    <s v="N"/>
    <s v="NA"/>
    <s v="NJ Llong"/>
    <s v="VA Kulkarni"/>
  </r>
  <r>
    <n v="1136565"/>
    <s v="Chennai"/>
    <d v="2018-04-10T00:00:00"/>
    <x v="3"/>
    <x v="93"/>
    <x v="20"/>
    <s v="League"/>
    <s v="SW Billings"/>
    <s v="Kolkata Knight Riders"/>
    <s v="Chennai Super Kings"/>
    <s v="Chennai Super Kings"/>
    <x v="0"/>
    <x v="1"/>
    <s v="wickets"/>
    <n v="5"/>
    <n v="203"/>
    <n v="20"/>
    <s v="N"/>
    <s v="NA"/>
    <s v="AK Chaudhary"/>
    <s v="CB Gaffaney"/>
  </r>
  <r>
    <n v="1136566"/>
    <s v="Jaipur"/>
    <d v="2018-04-11T00:00:00"/>
    <x v="3"/>
    <x v="49"/>
    <x v="21"/>
    <s v="League"/>
    <s v="SV Samson"/>
    <s v="Rajasthan Royals"/>
    <s v="Delhi Capitals"/>
    <s v="Delhi Capitals"/>
    <x v="0"/>
    <x v="2"/>
    <s v="runs"/>
    <n v="10"/>
    <n v="71"/>
    <n v="6"/>
    <s v="N"/>
    <s v="D/L"/>
    <s v="KN Ananthapadmanabhan"/>
    <s v="Nitin Menon"/>
  </r>
  <r>
    <n v="1136567"/>
    <s v="Hyderabad"/>
    <d v="2018-04-12T00:00:00"/>
    <x v="3"/>
    <x v="71"/>
    <x v="19"/>
    <s v="League"/>
    <s v="Rashid Khan"/>
    <s v="Mumbai Indians"/>
    <s v="Sunrisers Hyderabad"/>
    <s v="Sunrisers Hyderabad"/>
    <x v="0"/>
    <x v="5"/>
    <s v="wickets"/>
    <n v="1"/>
    <n v="148"/>
    <n v="20"/>
    <s v="N"/>
    <s v="NA"/>
    <s v="CK Nandan"/>
    <s v="NJ Llong"/>
  </r>
  <r>
    <n v="1136568"/>
    <s v="Bengaluru"/>
    <d v="2018-04-13T00:00:00"/>
    <x v="3"/>
    <x v="14"/>
    <x v="17"/>
    <s v="League"/>
    <s v="UT Yadav"/>
    <s v="Kings XI Punjab"/>
    <s v="Royal Challengers Bangalore"/>
    <s v="Royal Challengers Bangalore"/>
    <x v="0"/>
    <x v="3"/>
    <s v="wickets"/>
    <n v="4"/>
    <n v="156"/>
    <n v="20"/>
    <s v="N"/>
    <s v="NA"/>
    <s v="A Deshmukh"/>
    <s v="S Ravi"/>
  </r>
  <r>
    <n v="1136569"/>
    <s v="Mumbai"/>
    <d v="2018-04-14T00:00:00"/>
    <x v="3"/>
    <x v="94"/>
    <x v="4"/>
    <s v="League"/>
    <s v="JJ Roy"/>
    <s v="Mumbai Indians"/>
    <s v="Delhi Capitals"/>
    <s v="Delhi Capitals"/>
    <x v="0"/>
    <x v="6"/>
    <s v="wickets"/>
    <n v="7"/>
    <n v="195"/>
    <n v="20"/>
    <s v="N"/>
    <s v="NA"/>
    <s v="KN Ananthapadmanabhan"/>
    <s v="Nitin Menon"/>
  </r>
  <r>
    <n v="1136570"/>
    <s v="Kolkata"/>
    <d v="2018-04-14T00:00:00"/>
    <x v="3"/>
    <x v="95"/>
    <x v="0"/>
    <s v="League"/>
    <s v="B Stanlake"/>
    <s v="Kolkata Knight Riders"/>
    <s v="Sunrisers Hyderabad"/>
    <s v="Sunrisers Hyderabad"/>
    <x v="0"/>
    <x v="5"/>
    <s v="wickets"/>
    <n v="5"/>
    <n v="139"/>
    <n v="20"/>
    <s v="N"/>
    <s v="NA"/>
    <s v="AK Chaudhary"/>
    <s v="A Nand Kishore"/>
  </r>
  <r>
    <n v="1136571"/>
    <s v="Bengaluru"/>
    <d v="2018-04-15T00:00:00"/>
    <x v="3"/>
    <x v="49"/>
    <x v="17"/>
    <s v="League"/>
    <s v="SV Samson"/>
    <s v="Rajasthan Royals"/>
    <s v="Royal Challengers Bangalore"/>
    <s v="Royal Challengers Bangalore"/>
    <x v="0"/>
    <x v="2"/>
    <s v="runs"/>
    <n v="19"/>
    <n v="218"/>
    <n v="20"/>
    <s v="N"/>
    <s v="NA"/>
    <s v="C Shamshuddin"/>
    <s v="S Ravi"/>
  </r>
  <r>
    <n v="1136572"/>
    <s v="Chandigarh"/>
    <d v="2018-04-15T00:00:00"/>
    <x v="3"/>
    <x v="4"/>
    <x v="18"/>
    <s v="League"/>
    <s v="CH Gayle"/>
    <s v="Kings XI Punjab"/>
    <s v="Chennai Super Kings"/>
    <s v="Chennai Super Kings"/>
    <x v="0"/>
    <x v="4"/>
    <s v="runs"/>
    <n v="4"/>
    <n v="198"/>
    <n v="20"/>
    <s v="N"/>
    <s v="NA"/>
    <s v="CK Nandan"/>
    <s v="VA Kulkarni"/>
  </r>
  <r>
    <n v="1136573"/>
    <s v="Kolkata"/>
    <d v="2018-04-16T00:00:00"/>
    <x v="3"/>
    <x v="72"/>
    <x v="0"/>
    <s v="League"/>
    <s v="N Rana"/>
    <s v="Kolkata Knight Riders"/>
    <s v="Delhi Capitals"/>
    <s v="Delhi Capitals"/>
    <x v="0"/>
    <x v="0"/>
    <s v="runs"/>
    <n v="71"/>
    <n v="201"/>
    <n v="20"/>
    <s v="N"/>
    <s v="NA"/>
    <s v="AK Chaudhary"/>
    <s v="A Nand Kishore"/>
  </r>
  <r>
    <n v="1136574"/>
    <s v="Mumbai"/>
    <d v="2018-04-17T00:00:00"/>
    <x v="3"/>
    <x v="41"/>
    <x v="4"/>
    <s v="League"/>
    <s v="RG Sharma"/>
    <s v="Mumbai Indians"/>
    <s v="Royal Challengers Bangalore"/>
    <s v="Royal Challengers Bangalore"/>
    <x v="0"/>
    <x v="7"/>
    <s v="runs"/>
    <n v="46"/>
    <n v="214"/>
    <n v="20"/>
    <s v="N"/>
    <s v="NA"/>
    <s v="Nitin Menon"/>
    <s v="RJ Tucker"/>
  </r>
  <r>
    <n v="1136575"/>
    <s v="Jaipur"/>
    <d v="2018-04-18T00:00:00"/>
    <x v="3"/>
    <x v="72"/>
    <x v="21"/>
    <s v="League"/>
    <s v="N Rana"/>
    <s v="Rajasthan Royals"/>
    <s v="Kolkata Knight Riders"/>
    <s v="Kolkata Knight Riders"/>
    <x v="0"/>
    <x v="0"/>
    <s v="wickets"/>
    <n v="7"/>
    <n v="161"/>
    <n v="20"/>
    <s v="N"/>
    <s v="NA"/>
    <s v="A Deshmukh"/>
    <s v="S Ravi"/>
  </r>
  <r>
    <n v="1136576"/>
    <s v="Chandigarh"/>
    <d v="2018-04-19T00:00:00"/>
    <x v="3"/>
    <x v="4"/>
    <x v="18"/>
    <s v="League"/>
    <s v="CH Gayle"/>
    <s v="Kings XI Punjab"/>
    <s v="Sunrisers Hyderabad"/>
    <s v="Kings XI Punjab"/>
    <x v="1"/>
    <x v="4"/>
    <s v="runs"/>
    <n v="15"/>
    <n v="194"/>
    <n v="20"/>
    <s v="N"/>
    <s v="NA"/>
    <s v="AK Chaudhary"/>
    <s v="NJ Llong"/>
  </r>
  <r>
    <n v="1136577"/>
    <s v="Pune"/>
    <d v="2018-04-20T00:00:00"/>
    <x v="3"/>
    <x v="38"/>
    <x v="2"/>
    <s v="League"/>
    <s v="SR Watson"/>
    <s v="Chennai Super Kings"/>
    <s v="Rajasthan Royals"/>
    <s v="Rajasthan Royals"/>
    <x v="0"/>
    <x v="1"/>
    <s v="runs"/>
    <n v="64"/>
    <n v="205"/>
    <n v="20"/>
    <s v="N"/>
    <s v="NA"/>
    <s v="KN Ananthapadmanabhan"/>
    <s v="Nitin Menon"/>
  </r>
  <r>
    <n v="1136578"/>
    <s v="Kolkata"/>
    <d v="2018-04-21T00:00:00"/>
    <x v="3"/>
    <x v="92"/>
    <x v="0"/>
    <s v="League"/>
    <s v="KL Rahul"/>
    <s v="Kolkata Knight Riders"/>
    <s v="Kings XI Punjab"/>
    <s v="Kings XI Punjab"/>
    <x v="0"/>
    <x v="4"/>
    <s v="wickets"/>
    <n v="9"/>
    <n v="125"/>
    <n v="13"/>
    <s v="N"/>
    <s v="D/L"/>
    <s v="A Deshmukh"/>
    <s v="C Shamshuddin"/>
  </r>
  <r>
    <n v="1136579"/>
    <s v="Bengaluru"/>
    <d v="2018-04-21T00:00:00"/>
    <x v="3"/>
    <x v="32"/>
    <x v="17"/>
    <s v="League"/>
    <s v="AB de Villiers"/>
    <s v="Delhi Capitals"/>
    <s v="Royal Challengers Bangalore"/>
    <s v="Royal Challengers Bangalore"/>
    <x v="0"/>
    <x v="3"/>
    <s v="wickets"/>
    <n v="6"/>
    <n v="175"/>
    <n v="20"/>
    <s v="N"/>
    <s v="NA"/>
    <s v="CB Gaffaney"/>
    <s v="CK Nandan"/>
  </r>
  <r>
    <n v="1136580"/>
    <s v="Hyderabad"/>
    <d v="2018-04-22T00:00:00"/>
    <x v="3"/>
    <x v="25"/>
    <x v="19"/>
    <s v="League"/>
    <s v="AT Rayudu"/>
    <s v="Chennai Super Kings"/>
    <s v="Sunrisers Hyderabad"/>
    <s v="Sunrisers Hyderabad"/>
    <x v="0"/>
    <x v="1"/>
    <s v="runs"/>
    <n v="4"/>
    <n v="183"/>
    <n v="20"/>
    <s v="N"/>
    <s v="NA"/>
    <s v="AK Chaudhary"/>
    <s v="VA Kulkarni"/>
  </r>
  <r>
    <n v="1136581"/>
    <s v="Jaipur"/>
    <d v="2018-04-22T00:00:00"/>
    <x v="3"/>
    <x v="96"/>
    <x v="21"/>
    <s v="League"/>
    <s v="JC Archer"/>
    <s v="Mumbai Indians"/>
    <s v="Rajasthan Royals"/>
    <s v="Mumbai Indians"/>
    <x v="1"/>
    <x v="2"/>
    <s v="wickets"/>
    <n v="3"/>
    <n v="168"/>
    <n v="20"/>
    <s v="N"/>
    <s v="NA"/>
    <s v="KN Ananthapadmanabhan"/>
    <s v="RJ Tucker"/>
  </r>
  <r>
    <n v="1136582"/>
    <s v="Delhi"/>
    <d v="2018-04-23T00:00:00"/>
    <x v="3"/>
    <x v="97"/>
    <x v="22"/>
    <s v="League"/>
    <s v="AS Rajpoot"/>
    <s v="Kings XI Punjab"/>
    <s v="Delhi Capitals"/>
    <s v="Delhi Capitals"/>
    <x v="0"/>
    <x v="4"/>
    <s v="runs"/>
    <n v="4"/>
    <n v="144"/>
    <n v="20"/>
    <s v="N"/>
    <s v="NA"/>
    <s v="A Nand Kishore"/>
    <s v="CK Nandan"/>
  </r>
  <r>
    <n v="1136583"/>
    <s v="Mumbai"/>
    <d v="2018-04-24T00:00:00"/>
    <x v="3"/>
    <x v="71"/>
    <x v="4"/>
    <s v="League"/>
    <s v="Rashid Khan"/>
    <s v="Sunrisers Hyderabad"/>
    <s v="Mumbai Indians"/>
    <s v="Mumbai Indians"/>
    <x v="0"/>
    <x v="5"/>
    <s v="runs"/>
    <n v="31"/>
    <n v="119"/>
    <n v="20"/>
    <s v="N"/>
    <s v="NA"/>
    <s v="C Shamshuddin"/>
    <s v="S Ravi"/>
  </r>
  <r>
    <n v="1136584"/>
    <s v="Bengaluru"/>
    <d v="2018-04-25T00:00:00"/>
    <x v="3"/>
    <x v="65"/>
    <x v="17"/>
    <s v="League"/>
    <s v="MS Dhoni"/>
    <s v="Royal Challengers Bangalore"/>
    <s v="Chennai Super Kings"/>
    <s v="Chennai Super Kings"/>
    <x v="0"/>
    <x v="1"/>
    <s v="wickets"/>
    <n v="5"/>
    <n v="206"/>
    <n v="20"/>
    <s v="N"/>
    <s v="NA"/>
    <s v="NJ Llong"/>
    <s v="VK Sharma"/>
  </r>
  <r>
    <n v="1136585"/>
    <s v="Hyderabad"/>
    <d v="2018-04-26T00:00:00"/>
    <x v="3"/>
    <x v="97"/>
    <x v="19"/>
    <s v="League"/>
    <s v="AS Rajpoot"/>
    <s v="Sunrisers Hyderabad"/>
    <s v="Kings XI Punjab"/>
    <s v="Kings XI Punjab"/>
    <x v="0"/>
    <x v="5"/>
    <s v="runs"/>
    <n v="13"/>
    <n v="133"/>
    <n v="20"/>
    <s v="N"/>
    <s v="NA"/>
    <s v="CK Nandan"/>
    <s v="YC Barde"/>
  </r>
  <r>
    <n v="1136586"/>
    <s v="Delhi"/>
    <d v="2018-04-27T00:00:00"/>
    <x v="3"/>
    <x v="17"/>
    <x v="22"/>
    <s v="League"/>
    <s v="SS Iyer"/>
    <s v="Delhi Capitals"/>
    <s v="Kolkata Knight Riders"/>
    <s v="Kolkata Knight Riders"/>
    <x v="0"/>
    <x v="6"/>
    <s v="runs"/>
    <n v="55"/>
    <n v="220"/>
    <n v="20"/>
    <s v="N"/>
    <s v="NA"/>
    <s v="C Shamshuddin"/>
    <s v="S Ravi"/>
  </r>
  <r>
    <n v="1136587"/>
    <s v="Pune"/>
    <d v="2018-04-28T00:00:00"/>
    <x v="3"/>
    <x v="41"/>
    <x v="2"/>
    <s v="League"/>
    <s v="RG Sharma"/>
    <s v="Chennai Super Kings"/>
    <s v="Mumbai Indians"/>
    <s v="Mumbai Indians"/>
    <x v="0"/>
    <x v="7"/>
    <s v="wickets"/>
    <n v="8"/>
    <n v="170"/>
    <n v="20"/>
    <s v="N"/>
    <s v="NA"/>
    <s v="CB Gaffaney"/>
    <s v="Nitin Menon"/>
  </r>
  <r>
    <n v="1136588"/>
    <s v="Jaipur"/>
    <d v="2018-04-29T00:00:00"/>
    <x v="3"/>
    <x v="78"/>
    <x v="21"/>
    <s v="League"/>
    <s v="KS Williamson"/>
    <s v="Sunrisers Hyderabad"/>
    <s v="Rajasthan Royals"/>
    <s v="Sunrisers Hyderabad"/>
    <x v="1"/>
    <x v="5"/>
    <s v="runs"/>
    <n v="11"/>
    <n v="152"/>
    <n v="20"/>
    <s v="N"/>
    <s v="NA"/>
    <s v="BNJ Oxenford"/>
    <s v="A Nand Kishore"/>
  </r>
  <r>
    <n v="1136589"/>
    <s v="Bengaluru"/>
    <d v="2018-04-29T00:00:00"/>
    <x v="3"/>
    <x v="68"/>
    <x v="17"/>
    <s v="League"/>
    <s v="CA Lynn"/>
    <s v="Royal Challengers Bangalore"/>
    <s v="Kolkata Knight Riders"/>
    <s v="Kolkata Knight Riders"/>
    <x v="0"/>
    <x v="0"/>
    <s v="wickets"/>
    <n v="6"/>
    <n v="176"/>
    <n v="20"/>
    <s v="N"/>
    <s v="NA"/>
    <s v="AK Chaudhary"/>
    <s v="NJ Llong"/>
  </r>
  <r>
    <n v="1136590"/>
    <s v="Pune"/>
    <d v="2018-04-30T00:00:00"/>
    <x v="3"/>
    <x v="38"/>
    <x v="2"/>
    <s v="League"/>
    <s v="SR Watson"/>
    <s v="Chennai Super Kings"/>
    <s v="Delhi Capitals"/>
    <s v="Delhi Capitals"/>
    <x v="0"/>
    <x v="1"/>
    <s v="runs"/>
    <n v="13"/>
    <n v="212"/>
    <n v="20"/>
    <s v="N"/>
    <s v="NA"/>
    <s v="AY Dandekar"/>
    <s v="C Shamshuddin"/>
  </r>
  <r>
    <n v="1136591"/>
    <s v="Bengaluru"/>
    <d v="2018-05-01T00:00:00"/>
    <x v="3"/>
    <x v="98"/>
    <x v="17"/>
    <s v="League"/>
    <s v="TG Southee"/>
    <s v="Royal Challengers Bangalore"/>
    <s v="Mumbai Indians"/>
    <s v="Mumbai Indians"/>
    <x v="0"/>
    <x v="3"/>
    <s v="runs"/>
    <n v="14"/>
    <n v="168"/>
    <n v="20"/>
    <s v="N"/>
    <s v="NA"/>
    <s v="M Erasmus"/>
    <s v="Nitin Menon"/>
  </r>
  <r>
    <n v="1136592"/>
    <s v="Delhi"/>
    <d v="2018-05-02T00:00:00"/>
    <x v="3"/>
    <x v="57"/>
    <x v="22"/>
    <s v="League"/>
    <s v="RR Pant"/>
    <s v="Delhi Capitals"/>
    <s v="Rajasthan Royals"/>
    <s v="Rajasthan Royals"/>
    <x v="0"/>
    <x v="6"/>
    <s v="runs"/>
    <n v="4"/>
    <n v="151"/>
    <n v="12"/>
    <s v="N"/>
    <s v="D/L"/>
    <s v="CK Nandan"/>
    <s v="VK Sharma"/>
  </r>
  <r>
    <n v="1136593"/>
    <s v="Kolkata"/>
    <d v="2018-05-03T00:00:00"/>
    <x v="3"/>
    <x v="74"/>
    <x v="0"/>
    <s v="League"/>
    <s v="SP Narine"/>
    <s v="Chennai Super Kings"/>
    <s v="Kolkata Knight Riders"/>
    <s v="Kolkata Knight Riders"/>
    <x v="0"/>
    <x v="0"/>
    <s v="wickets"/>
    <n v="6"/>
    <n v="178"/>
    <n v="20"/>
    <s v="N"/>
    <s v="NA"/>
    <s v="A Deshmukh"/>
    <s v="HDPK Dharmasena"/>
  </r>
  <r>
    <n v="1136594"/>
    <s v="Indore"/>
    <d v="2018-05-04T00:00:00"/>
    <x v="3"/>
    <x v="51"/>
    <x v="16"/>
    <s v="League"/>
    <s v="SA Yadav"/>
    <s v="Kings XI Punjab"/>
    <s v="Mumbai Indians"/>
    <s v="Mumbai Indians"/>
    <x v="0"/>
    <x v="7"/>
    <s v="wickets"/>
    <n v="6"/>
    <n v="175"/>
    <n v="20"/>
    <s v="N"/>
    <s v="NA"/>
    <s v="AY Dandekar"/>
    <s v="S Ravi"/>
  </r>
  <r>
    <n v="1136595"/>
    <s v="Pune"/>
    <d v="2018-05-05T00:00:00"/>
    <x v="3"/>
    <x v="33"/>
    <x v="2"/>
    <s v="League"/>
    <s v="RA Jadeja"/>
    <s v="Royal Challengers Bangalore"/>
    <s v="Chennai Super Kings"/>
    <s v="Chennai Super Kings"/>
    <x v="0"/>
    <x v="1"/>
    <s v="wickets"/>
    <n v="6"/>
    <n v="128"/>
    <n v="20"/>
    <s v="N"/>
    <s v="NA"/>
    <s v="Nitin Menon"/>
    <s v="YC Barde"/>
  </r>
  <r>
    <n v="1136596"/>
    <s v="Hyderabad"/>
    <d v="2018-05-05T00:00:00"/>
    <x v="3"/>
    <x v="71"/>
    <x v="19"/>
    <s v="League"/>
    <s v="Rashid Khan"/>
    <s v="Delhi Capitals"/>
    <s v="Sunrisers Hyderabad"/>
    <s v="Delhi Capitals"/>
    <x v="1"/>
    <x v="5"/>
    <s v="wickets"/>
    <n v="7"/>
    <n v="164"/>
    <n v="20"/>
    <s v="N"/>
    <s v="NA"/>
    <s v="BNJ Oxenford"/>
    <s v="CK Nandan"/>
  </r>
  <r>
    <n v="1136597"/>
    <s v="Mumbai"/>
    <d v="2018-05-06T00:00:00"/>
    <x v="3"/>
    <x v="30"/>
    <x v="4"/>
    <s v="League"/>
    <s v="HH Pandya"/>
    <s v="Mumbai Indians"/>
    <s v="Kolkata Knight Riders"/>
    <s v="Kolkata Knight Riders"/>
    <x v="0"/>
    <x v="7"/>
    <s v="runs"/>
    <n v="13"/>
    <n v="182"/>
    <n v="20"/>
    <s v="N"/>
    <s v="NA"/>
    <s v="A Deshmukh"/>
    <s v="HDPK Dharmasena"/>
  </r>
  <r>
    <n v="1136598"/>
    <s v="Indore"/>
    <d v="2018-05-06T00:00:00"/>
    <x v="3"/>
    <x v="99"/>
    <x v="16"/>
    <s v="League"/>
    <s v="Mujeeb Ur Rahman"/>
    <s v="Rajasthan Royals"/>
    <s v="Kings XI Punjab"/>
    <s v="Kings XI Punjab"/>
    <x v="0"/>
    <x v="4"/>
    <s v="wickets"/>
    <n v="6"/>
    <n v="153"/>
    <n v="20"/>
    <s v="N"/>
    <s v="NA"/>
    <s v="C Shamshuddin"/>
    <s v="S Ravi"/>
  </r>
  <r>
    <n v="1136599"/>
    <s v="Hyderabad"/>
    <d v="2018-05-07T00:00:00"/>
    <x v="3"/>
    <x v="78"/>
    <x v="19"/>
    <s v="League"/>
    <s v="KS Williamson"/>
    <s v="Sunrisers Hyderabad"/>
    <s v="Royal Challengers Bangalore"/>
    <s v="Royal Challengers Bangalore"/>
    <x v="0"/>
    <x v="5"/>
    <s v="runs"/>
    <n v="5"/>
    <n v="147"/>
    <n v="20"/>
    <s v="N"/>
    <s v="NA"/>
    <s v="BNJ Oxenford"/>
    <s v="VK Sharma"/>
  </r>
  <r>
    <n v="1136600"/>
    <s v="Jaipur"/>
    <d v="2018-05-08T00:00:00"/>
    <x v="3"/>
    <x v="79"/>
    <x v="21"/>
    <s v="League"/>
    <s v="JC Buttler"/>
    <s v="Rajasthan Royals"/>
    <s v="Kings XI Punjab"/>
    <s v="Rajasthan Royals"/>
    <x v="1"/>
    <x v="2"/>
    <s v="runs"/>
    <n v="15"/>
    <n v="159"/>
    <n v="20"/>
    <s v="N"/>
    <s v="NA"/>
    <s v="M Erasmus"/>
    <s v="Nitin Menon"/>
  </r>
  <r>
    <n v="1136601"/>
    <s v="Kolkata"/>
    <d v="2018-05-09T00:00:00"/>
    <x v="3"/>
    <x v="100"/>
    <x v="0"/>
    <s v="League"/>
    <s v="Ishan Kishan"/>
    <s v="Mumbai Indians"/>
    <s v="Kolkata Knight Riders"/>
    <s v="Kolkata Knight Riders"/>
    <x v="0"/>
    <x v="7"/>
    <s v="runs"/>
    <n v="102"/>
    <n v="211"/>
    <n v="20"/>
    <s v="N"/>
    <s v="NA"/>
    <s v="KN Ananthapadmanabhan"/>
    <s v="AK Chaudhary"/>
  </r>
  <r>
    <n v="1136602"/>
    <s v="Delhi"/>
    <d v="2018-05-10T00:00:00"/>
    <x v="3"/>
    <x v="85"/>
    <x v="22"/>
    <s v="League"/>
    <s v="S Dhawan"/>
    <s v="Delhi Capitals"/>
    <s v="Sunrisers Hyderabad"/>
    <s v="Delhi Capitals"/>
    <x v="1"/>
    <x v="5"/>
    <s v="wickets"/>
    <n v="9"/>
    <n v="188"/>
    <n v="20"/>
    <s v="N"/>
    <s v="NA"/>
    <s v="AY Dandekar"/>
    <s v="C Shamshuddin"/>
  </r>
  <r>
    <n v="1136603"/>
    <s v="Jaipur"/>
    <d v="2018-05-11T00:00:00"/>
    <x v="3"/>
    <x v="79"/>
    <x v="21"/>
    <s v="League"/>
    <s v="JC Buttler"/>
    <s v="Chennai Super Kings"/>
    <s v="Rajasthan Royals"/>
    <s v="Chennai Super Kings"/>
    <x v="1"/>
    <x v="2"/>
    <s v="wickets"/>
    <n v="4"/>
    <n v="177"/>
    <n v="20"/>
    <s v="N"/>
    <s v="NA"/>
    <s v="M Erasmus"/>
    <s v="YC Barde"/>
  </r>
  <r>
    <n v="1136604"/>
    <s v="Indore"/>
    <d v="2018-05-12T00:00:00"/>
    <x v="3"/>
    <x v="74"/>
    <x v="16"/>
    <s v="League"/>
    <s v="SP Narine"/>
    <s v="Kolkata Knight Riders"/>
    <s v="Kings XI Punjab"/>
    <s v="Kings XI Punjab"/>
    <x v="0"/>
    <x v="0"/>
    <s v="runs"/>
    <n v="31"/>
    <n v="246"/>
    <n v="20"/>
    <s v="N"/>
    <s v="NA"/>
    <s v="CK Nandan"/>
    <s v="VK Sharma"/>
  </r>
  <r>
    <n v="1136605"/>
    <s v="Delhi"/>
    <d v="2018-05-12T00:00:00"/>
    <x v="3"/>
    <x v="32"/>
    <x v="22"/>
    <s v="League"/>
    <s v="AB de Villiers"/>
    <s v="Delhi Capitals"/>
    <s v="Royal Challengers Bangalore"/>
    <s v="Royal Challengers Bangalore"/>
    <x v="0"/>
    <x v="3"/>
    <s v="wickets"/>
    <n v="5"/>
    <n v="182"/>
    <n v="20"/>
    <s v="N"/>
    <s v="NA"/>
    <s v="KN Ananthapadmanabhan"/>
    <s v="HDPK Dharmasena"/>
  </r>
  <r>
    <n v="1136606"/>
    <s v="Pune"/>
    <d v="2018-05-13T00:00:00"/>
    <x v="3"/>
    <x v="25"/>
    <x v="2"/>
    <s v="League"/>
    <s v="AT Rayudu"/>
    <s v="Sunrisers Hyderabad"/>
    <s v="Chennai Super Kings"/>
    <s v="Chennai Super Kings"/>
    <x v="0"/>
    <x v="1"/>
    <s v="wickets"/>
    <n v="8"/>
    <n v="180"/>
    <n v="20"/>
    <s v="N"/>
    <s v="NA"/>
    <s v="M Erasmus"/>
    <s v="YC Barde"/>
  </r>
  <r>
    <n v="1136607"/>
    <s v="Mumbai"/>
    <d v="2018-05-13T00:00:00"/>
    <x v="3"/>
    <x v="79"/>
    <x v="4"/>
    <s v="League"/>
    <s v="JC Buttler"/>
    <s v="Mumbai Indians"/>
    <s v="Rajasthan Royals"/>
    <s v="Rajasthan Royals"/>
    <x v="0"/>
    <x v="2"/>
    <s v="wickets"/>
    <n v="7"/>
    <n v="169"/>
    <n v="20"/>
    <s v="N"/>
    <s v="NA"/>
    <s v="Nitin Menon"/>
    <s v="S Ravi"/>
  </r>
  <r>
    <n v="1136608"/>
    <s v="Indore"/>
    <d v="2018-05-14T00:00:00"/>
    <x v="3"/>
    <x v="14"/>
    <x v="16"/>
    <s v="League"/>
    <s v="UT Yadav"/>
    <s v="Kings XI Punjab"/>
    <s v="Royal Challengers Bangalore"/>
    <s v="Royal Challengers Bangalore"/>
    <x v="0"/>
    <x v="3"/>
    <s v="wickets"/>
    <n v="10"/>
    <n v="89"/>
    <n v="20"/>
    <s v="N"/>
    <s v="NA"/>
    <s v="BNJ Oxenford"/>
    <s v="VK Sharma"/>
  </r>
  <r>
    <n v="1136609"/>
    <s v="Kolkata"/>
    <d v="2018-05-15T00:00:00"/>
    <x v="3"/>
    <x v="101"/>
    <x v="0"/>
    <s v="League"/>
    <s v="Kuldeep Yadav"/>
    <s v="Rajasthan Royals"/>
    <s v="Kolkata Knight Riders"/>
    <s v="Kolkata Knight Riders"/>
    <x v="0"/>
    <x v="0"/>
    <s v="wickets"/>
    <n v="6"/>
    <n v="143"/>
    <n v="20"/>
    <s v="N"/>
    <s v="NA"/>
    <s v="AK Chaudhary"/>
    <s v="HDPK Dharmasena"/>
  </r>
  <r>
    <n v="1136610"/>
    <s v="Mumbai"/>
    <d v="2018-05-16T00:00:00"/>
    <x v="3"/>
    <x v="73"/>
    <x v="4"/>
    <s v="League"/>
    <s v="JJ Bumrah"/>
    <s v="Mumbai Indians"/>
    <s v="Kings XI Punjab"/>
    <s v="Kings XI Punjab"/>
    <x v="0"/>
    <x v="7"/>
    <s v="runs"/>
    <n v="3"/>
    <n v="187"/>
    <n v="20"/>
    <s v="N"/>
    <s v="NA"/>
    <s v="M Erasmus"/>
    <s v="Nitin Menon"/>
  </r>
  <r>
    <n v="1136611"/>
    <s v="Bengaluru"/>
    <d v="2018-05-17T00:00:00"/>
    <x v="3"/>
    <x v="32"/>
    <x v="17"/>
    <s v="League"/>
    <s v="AB de Villiers"/>
    <s v="Royal Challengers Bangalore"/>
    <s v="Sunrisers Hyderabad"/>
    <s v="Sunrisers Hyderabad"/>
    <x v="0"/>
    <x v="3"/>
    <s v="runs"/>
    <n v="14"/>
    <n v="219"/>
    <n v="20"/>
    <s v="N"/>
    <s v="NA"/>
    <s v="AY Dandekar"/>
    <s v="S Ravi"/>
  </r>
  <r>
    <n v="1136612"/>
    <s v="Delhi"/>
    <d v="2018-05-18T00:00:00"/>
    <x v="3"/>
    <x v="89"/>
    <x v="22"/>
    <s v="League"/>
    <s v="HV Patel"/>
    <s v="Delhi Capitals"/>
    <s v="Chennai Super Kings"/>
    <s v="Chennai Super Kings"/>
    <x v="0"/>
    <x v="6"/>
    <s v="runs"/>
    <n v="34"/>
    <n v="163"/>
    <n v="20"/>
    <s v="N"/>
    <s v="NA"/>
    <s v="HDPK Dharmasena"/>
    <s v="VA Kulkarni"/>
  </r>
  <r>
    <n v="1136613"/>
    <s v="Jaipur"/>
    <d v="2018-05-19T00:00:00"/>
    <x v="3"/>
    <x v="102"/>
    <x v="21"/>
    <s v="League"/>
    <s v="S Gopal"/>
    <s v="Rajasthan Royals"/>
    <s v="Royal Challengers Bangalore"/>
    <s v="Rajasthan Royals"/>
    <x v="1"/>
    <x v="2"/>
    <s v="runs"/>
    <n v="30"/>
    <n v="165"/>
    <n v="20"/>
    <s v="N"/>
    <s v="NA"/>
    <s v="BNJ Oxenford"/>
    <s v="VK Sharma"/>
  </r>
  <r>
    <n v="1136614"/>
    <s v="Hyderabad"/>
    <d v="2018-05-19T00:00:00"/>
    <x v="3"/>
    <x v="68"/>
    <x v="19"/>
    <s v="League"/>
    <s v="CA Lynn"/>
    <s v="Sunrisers Hyderabad"/>
    <s v="Kolkata Knight Riders"/>
    <s v="Sunrisers Hyderabad"/>
    <x v="1"/>
    <x v="0"/>
    <s v="wickets"/>
    <n v="5"/>
    <n v="173"/>
    <n v="20"/>
    <s v="N"/>
    <s v="NA"/>
    <s v="AK Chaudhary"/>
    <s v="S Ravi"/>
  </r>
  <r>
    <n v="1136615"/>
    <s v="Delhi"/>
    <d v="2018-05-20T00:00:00"/>
    <x v="3"/>
    <x v="43"/>
    <x v="22"/>
    <s v="League"/>
    <s v="A Mishra"/>
    <s v="Delhi Capitals"/>
    <s v="Mumbai Indians"/>
    <s v="Delhi Capitals"/>
    <x v="1"/>
    <x v="6"/>
    <s v="runs"/>
    <n v="11"/>
    <n v="175"/>
    <n v="20"/>
    <s v="N"/>
    <s v="NA"/>
    <s v="HDPK Dharmasena"/>
    <s v="CK Nandan"/>
  </r>
  <r>
    <n v="1136616"/>
    <s v="Pune"/>
    <d v="2018-05-20T00:00:00"/>
    <x v="3"/>
    <x v="103"/>
    <x v="2"/>
    <s v="League"/>
    <s v="L Ngidi"/>
    <s v="Kings XI Punjab"/>
    <s v="Chennai Super Kings"/>
    <s v="Chennai Super Kings"/>
    <x v="0"/>
    <x v="1"/>
    <s v="wickets"/>
    <n v="5"/>
    <n v="154"/>
    <n v="20"/>
    <s v="N"/>
    <s v="NA"/>
    <s v="Nitin Menon"/>
    <s v="YC Barde"/>
  </r>
  <r>
    <n v="1136617"/>
    <s v="Mumbai"/>
    <d v="2018-05-22T00:00:00"/>
    <x v="3"/>
    <x v="104"/>
    <x v="4"/>
    <s v="Qualifier 1"/>
    <s v="F du Plessis"/>
    <s v="Sunrisers Hyderabad"/>
    <s v="Chennai Super Kings"/>
    <s v="Chennai Super Kings"/>
    <x v="0"/>
    <x v="1"/>
    <s v="wickets"/>
    <n v="2"/>
    <n v="140"/>
    <n v="20"/>
    <s v="N"/>
    <s v="NA"/>
    <s v="C Shamshuddin"/>
    <s v="M Erasmus"/>
  </r>
  <r>
    <n v="1136618"/>
    <s v="Kolkata"/>
    <d v="2018-05-23T00:00:00"/>
    <x v="3"/>
    <x v="12"/>
    <x v="0"/>
    <s v="Eliminator"/>
    <s v="AD Russell"/>
    <s v="Kolkata Knight Riders"/>
    <s v="Rajasthan Royals"/>
    <s v="Rajasthan Royals"/>
    <x v="0"/>
    <x v="0"/>
    <s v="runs"/>
    <n v="25"/>
    <n v="170"/>
    <n v="20"/>
    <s v="N"/>
    <s v="NA"/>
    <s v="AK Chaudhary"/>
    <s v="Nitin Menon"/>
  </r>
  <r>
    <n v="1136619"/>
    <s v="Kolkata"/>
    <d v="2018-05-25T00:00:00"/>
    <x v="3"/>
    <x v="71"/>
    <x v="0"/>
    <s v="Qualifier 2"/>
    <s v="Rashid Khan"/>
    <s v="Sunrisers Hyderabad"/>
    <s v="Kolkata Knight Riders"/>
    <s v="Kolkata Knight Riders"/>
    <x v="0"/>
    <x v="5"/>
    <s v="runs"/>
    <n v="14"/>
    <n v="175"/>
    <n v="20"/>
    <s v="N"/>
    <s v="NA"/>
    <s v="HDPK Dharmasena"/>
    <s v="Nitin Menon"/>
  </r>
  <r>
    <n v="1136620"/>
    <s v="Mumbai"/>
    <d v="2018-05-27T00:00:00"/>
    <x v="3"/>
    <x v="38"/>
    <x v="4"/>
    <s v="Final"/>
    <s v="SR Watson"/>
    <s v="Sunrisers Hyderabad"/>
    <s v="Chennai Super Kings"/>
    <s v="Chennai Super Kings"/>
    <x v="0"/>
    <x v="1"/>
    <s v="wickets"/>
    <n v="8"/>
    <n v="179"/>
    <n v="20"/>
    <s v="N"/>
    <s v="NA"/>
    <s v="M Erasmus"/>
    <s v="S Ravi"/>
  </r>
  <r>
    <n v="1175356"/>
    <s v="Chennai"/>
    <d v="2019-03-23T00:00:00"/>
    <x v="4"/>
    <x v="13"/>
    <x v="20"/>
    <s v="League"/>
    <s v="Harbhajan Singh"/>
    <s v="Royal Challengers Bangalore"/>
    <s v="Chennai Super Kings"/>
    <s v="Chennai Super Kings"/>
    <x v="0"/>
    <x v="1"/>
    <s v="wickets"/>
    <n v="7"/>
    <n v="71"/>
    <n v="20"/>
    <s v="N"/>
    <s v="NA"/>
    <s v="AY Dandekar"/>
    <s v="BNJ Oxenford"/>
  </r>
  <r>
    <n v="1175357"/>
    <s v="Kolkata"/>
    <d v="2019-03-24T00:00:00"/>
    <x v="4"/>
    <x v="12"/>
    <x v="0"/>
    <s v="League"/>
    <s v="AD Russell"/>
    <s v="Sunrisers Hyderabad"/>
    <s v="Kolkata Knight Riders"/>
    <s v="Kolkata Knight Riders"/>
    <x v="0"/>
    <x v="0"/>
    <s v="wickets"/>
    <n v="6"/>
    <n v="182"/>
    <n v="20"/>
    <s v="N"/>
    <s v="NA"/>
    <s v="AK Chaudhary"/>
    <s v="CB Gaffaney"/>
  </r>
  <r>
    <n v="1175358"/>
    <s v="Mumbai"/>
    <d v="2019-03-24T00:00:00"/>
    <x v="4"/>
    <x v="57"/>
    <x v="4"/>
    <s v="League"/>
    <s v="RR Pant"/>
    <s v="Delhi Capitals"/>
    <s v="Mumbai Indians"/>
    <s v="Mumbai Indians"/>
    <x v="0"/>
    <x v="6"/>
    <s v="runs"/>
    <n v="37"/>
    <n v="214"/>
    <n v="20"/>
    <s v="N"/>
    <s v="NA"/>
    <s v="S Ravi"/>
    <s v="YC Barde"/>
  </r>
  <r>
    <n v="1175359"/>
    <s v="Jaipur"/>
    <d v="2019-03-25T00:00:00"/>
    <x v="4"/>
    <x v="4"/>
    <x v="21"/>
    <s v="League"/>
    <s v="CH Gayle"/>
    <s v="Kings XI Punjab"/>
    <s v="Rajasthan Royals"/>
    <s v="Rajasthan Royals"/>
    <x v="0"/>
    <x v="4"/>
    <s v="runs"/>
    <n v="14"/>
    <n v="185"/>
    <n v="20"/>
    <s v="N"/>
    <s v="NA"/>
    <s v="C Shamshuddin"/>
    <s v="KN Ananthapadmanabhan"/>
  </r>
  <r>
    <n v="1175360"/>
    <s v="Delhi"/>
    <d v="2019-03-26T00:00:00"/>
    <x v="4"/>
    <x v="38"/>
    <x v="22"/>
    <s v="League"/>
    <s v="SR Watson"/>
    <s v="Delhi Capitals"/>
    <s v="Chennai Super Kings"/>
    <s v="Delhi Capitals"/>
    <x v="1"/>
    <x v="1"/>
    <s v="wickets"/>
    <n v="6"/>
    <n v="148"/>
    <n v="20"/>
    <s v="N"/>
    <s v="NA"/>
    <s v="M Erasmus"/>
    <s v="Nitin Menon"/>
  </r>
  <r>
    <n v="1175361"/>
    <s v="Kolkata"/>
    <d v="2019-03-27T00:00:00"/>
    <x v="4"/>
    <x v="12"/>
    <x v="0"/>
    <s v="League"/>
    <s v="AD Russell"/>
    <s v="Kolkata Knight Riders"/>
    <s v="Kings XI Punjab"/>
    <s v="Kings XI Punjab"/>
    <x v="0"/>
    <x v="0"/>
    <s v="runs"/>
    <n v="28"/>
    <n v="219"/>
    <n v="20"/>
    <s v="N"/>
    <s v="NA"/>
    <s v="AK Chaudhary"/>
    <s v="VA Kulkarni"/>
  </r>
  <r>
    <n v="1175362"/>
    <s v="Bengaluru"/>
    <d v="2019-03-28T00:00:00"/>
    <x v="4"/>
    <x v="73"/>
    <x v="17"/>
    <s v="League"/>
    <s v="JJ Bumrah"/>
    <s v="Mumbai Indians"/>
    <s v="Royal Challengers Bangalore"/>
    <s v="Royal Challengers Bangalore"/>
    <x v="0"/>
    <x v="7"/>
    <s v="runs"/>
    <n v="6"/>
    <n v="188"/>
    <n v="20"/>
    <s v="N"/>
    <s v="NA"/>
    <s v="CK Nandan"/>
    <s v="S Ravi"/>
  </r>
  <r>
    <n v="1175363"/>
    <s v="Hyderabad"/>
    <d v="2019-03-29T00:00:00"/>
    <x v="4"/>
    <x v="71"/>
    <x v="19"/>
    <s v="League"/>
    <s v="Rashid Khan"/>
    <s v="Rajasthan Royals"/>
    <s v="Sunrisers Hyderabad"/>
    <s v="Rajasthan Royals"/>
    <x v="1"/>
    <x v="5"/>
    <s v="wickets"/>
    <n v="5"/>
    <n v="199"/>
    <n v="20"/>
    <s v="N"/>
    <s v="NA"/>
    <s v="BNJ Oxenford"/>
    <s v="C Shamshuddin"/>
  </r>
  <r>
    <n v="1175364"/>
    <s v="Chandigarh"/>
    <d v="2019-03-30T00:00:00"/>
    <x v="4"/>
    <x v="9"/>
    <x v="18"/>
    <s v="League"/>
    <s v="MA Agarwal"/>
    <s v="Mumbai Indians"/>
    <s v="Kings XI Punjab"/>
    <s v="Kings XI Punjab"/>
    <x v="0"/>
    <x v="4"/>
    <s v="wickets"/>
    <n v="8"/>
    <n v="177"/>
    <n v="20"/>
    <s v="N"/>
    <s v="NA"/>
    <s v="CB Gaffaney"/>
    <s v="VA Kulkarni"/>
  </r>
  <r>
    <n v="1175365"/>
    <s v="Delhi"/>
    <d v="2019-03-30T00:00:00"/>
    <x v="4"/>
    <x v="105"/>
    <x v="22"/>
    <s v="League"/>
    <s v="PP Shaw"/>
    <s v="Kolkata Knight Riders"/>
    <s v="Delhi Capitals"/>
    <s v="Delhi Capitals"/>
    <x v="0"/>
    <x v="6"/>
    <s v="tie"/>
    <s v="NA"/>
    <n v="186"/>
    <n v="20"/>
    <s v="Y"/>
    <s v="NA"/>
    <s v="AY Dandekar"/>
    <s v="Nitin Menon"/>
  </r>
  <r>
    <n v="1175366"/>
    <s v="Hyderabad"/>
    <d v="2019-03-31T00:00:00"/>
    <x v="4"/>
    <x v="106"/>
    <x v="19"/>
    <s v="League"/>
    <s v="JM Bairstow"/>
    <s v="Sunrisers Hyderabad"/>
    <s v="Royal Challengers Bangalore"/>
    <s v="Royal Challengers Bangalore"/>
    <x v="0"/>
    <x v="5"/>
    <s v="runs"/>
    <n v="118"/>
    <n v="232"/>
    <n v="20"/>
    <s v="N"/>
    <s v="NA"/>
    <s v="KN Ananthapadmanabhan"/>
    <s v="S Ravi"/>
  </r>
  <r>
    <n v="1175367"/>
    <s v="Chennai"/>
    <d v="2019-03-31T00:00:00"/>
    <x v="4"/>
    <x v="65"/>
    <x v="20"/>
    <s v="League"/>
    <s v="MS Dhoni"/>
    <s v="Chennai Super Kings"/>
    <s v="Rajasthan Royals"/>
    <s v="Rajasthan Royals"/>
    <x v="0"/>
    <x v="1"/>
    <s v="runs"/>
    <n v="8"/>
    <n v="176"/>
    <n v="20"/>
    <s v="N"/>
    <s v="NA"/>
    <s v="CK Nandan"/>
    <s v="YC Barde"/>
  </r>
  <r>
    <n v="1175368"/>
    <s v="Chandigarh"/>
    <d v="2019-04-01T00:00:00"/>
    <x v="4"/>
    <x v="107"/>
    <x v="18"/>
    <s v="League"/>
    <s v="SM Curran"/>
    <s v="Kings XI Punjab"/>
    <s v="Delhi Capitals"/>
    <s v="Delhi Capitals"/>
    <x v="0"/>
    <x v="4"/>
    <s v="runs"/>
    <n v="14"/>
    <n v="167"/>
    <n v="20"/>
    <s v="N"/>
    <s v="NA"/>
    <s v="AK Chaudhary"/>
    <s v="CB Gaffaney"/>
  </r>
  <r>
    <n v="1175369"/>
    <s v="Jaipur"/>
    <d v="2019-04-02T00:00:00"/>
    <x v="4"/>
    <x v="102"/>
    <x v="21"/>
    <s v="League"/>
    <s v="S Gopal"/>
    <s v="Royal Challengers Bangalore"/>
    <s v="Rajasthan Royals"/>
    <s v="Rajasthan Royals"/>
    <x v="0"/>
    <x v="2"/>
    <s v="wickets"/>
    <n v="7"/>
    <n v="159"/>
    <n v="20"/>
    <s v="N"/>
    <s v="NA"/>
    <s v="AY Dandekar"/>
    <s v="M Erasmus"/>
  </r>
  <r>
    <n v="1175370"/>
    <s v="Mumbai"/>
    <d v="2019-04-03T00:00:00"/>
    <x v="4"/>
    <x v="30"/>
    <x v="4"/>
    <s v="League"/>
    <s v="HH Pandya"/>
    <s v="Mumbai Indians"/>
    <s v="Chennai Super Kings"/>
    <s v="Chennai Super Kings"/>
    <x v="0"/>
    <x v="7"/>
    <s v="runs"/>
    <n v="37"/>
    <n v="171"/>
    <n v="20"/>
    <s v="N"/>
    <s v="NA"/>
    <s v="BNJ Oxenford"/>
    <s v="RJ Tucker"/>
  </r>
  <r>
    <n v="1175371"/>
    <s v="Delhi"/>
    <d v="2019-04-04T00:00:00"/>
    <x v="4"/>
    <x v="106"/>
    <x v="22"/>
    <s v="League"/>
    <s v="JM Bairstow"/>
    <s v="Delhi Capitals"/>
    <s v="Sunrisers Hyderabad"/>
    <s v="Sunrisers Hyderabad"/>
    <x v="0"/>
    <x v="5"/>
    <s v="wickets"/>
    <n v="5"/>
    <n v="130"/>
    <n v="20"/>
    <s v="N"/>
    <s v="NA"/>
    <s v="C Shamshuddin"/>
    <s v="KN Ananthapadmanabhan"/>
  </r>
  <r>
    <n v="1175372"/>
    <s v="Bengaluru"/>
    <d v="2019-04-05T00:00:00"/>
    <x v="4"/>
    <x v="12"/>
    <x v="17"/>
    <s v="League"/>
    <s v="AD Russell"/>
    <s v="Royal Challengers Bangalore"/>
    <s v="Kolkata Knight Riders"/>
    <s v="Kolkata Knight Riders"/>
    <x v="0"/>
    <x v="0"/>
    <s v="wickets"/>
    <n v="5"/>
    <n v="206"/>
    <n v="20"/>
    <s v="N"/>
    <s v="NA"/>
    <s v="AK Chaudhary"/>
    <s v="CB Gaffaney"/>
  </r>
  <r>
    <n v="1178393"/>
    <s v="Chennai"/>
    <d v="2019-04-06T00:00:00"/>
    <x v="4"/>
    <x v="13"/>
    <x v="20"/>
    <s v="League"/>
    <s v="Harbhajan Singh"/>
    <s v="Chennai Super Kings"/>
    <s v="Kings XI Punjab"/>
    <s v="Chennai Super Kings"/>
    <x v="1"/>
    <x v="1"/>
    <s v="runs"/>
    <n v="22"/>
    <n v="161"/>
    <n v="20"/>
    <s v="N"/>
    <s v="NA"/>
    <s v="KN Ananthapadmanabhan"/>
    <s v="RJ Tucker"/>
  </r>
  <r>
    <n v="1178394"/>
    <s v="Hyderabad"/>
    <d v="2019-04-06T00:00:00"/>
    <x v="4"/>
    <x v="108"/>
    <x v="19"/>
    <s v="League"/>
    <s v="AS Joseph"/>
    <s v="Mumbai Indians"/>
    <s v="Sunrisers Hyderabad"/>
    <s v="Sunrisers Hyderabad"/>
    <x v="0"/>
    <x v="7"/>
    <s v="runs"/>
    <n v="40"/>
    <n v="137"/>
    <n v="20"/>
    <s v="N"/>
    <s v="NA"/>
    <s v="AY Dandekar"/>
    <s v="Nitin Menon"/>
  </r>
  <r>
    <n v="1178395"/>
    <s v="Bengaluru"/>
    <d v="2019-04-07T00:00:00"/>
    <x v="4"/>
    <x v="109"/>
    <x v="17"/>
    <s v="League"/>
    <s v="K Rabada"/>
    <s v="Royal Challengers Bangalore"/>
    <s v="Delhi Capitals"/>
    <s v="Delhi Capitals"/>
    <x v="0"/>
    <x v="6"/>
    <s v="wickets"/>
    <n v="4"/>
    <n v="150"/>
    <n v="20"/>
    <s v="N"/>
    <s v="NA"/>
    <s v="S Ravi"/>
    <s v="YC Barde"/>
  </r>
  <r>
    <n v="1178396"/>
    <s v="Jaipur"/>
    <d v="2019-04-07T00:00:00"/>
    <x v="4"/>
    <x v="110"/>
    <x v="21"/>
    <s v="League"/>
    <s v="HF Gurney"/>
    <s v="Rajasthan Royals"/>
    <s v="Kolkata Knight Riders"/>
    <s v="Kolkata Knight Riders"/>
    <x v="0"/>
    <x v="0"/>
    <s v="wickets"/>
    <n v="8"/>
    <n v="140"/>
    <n v="20"/>
    <s v="N"/>
    <s v="NA"/>
    <s v="AK Chaudhary"/>
    <s v="CB Gaffaney"/>
  </r>
  <r>
    <n v="1178397"/>
    <s v="Chandigarh"/>
    <d v="2019-04-08T00:00:00"/>
    <x v="4"/>
    <x v="92"/>
    <x v="18"/>
    <s v="League"/>
    <s v="KL Rahul"/>
    <s v="Sunrisers Hyderabad"/>
    <s v="Kings XI Punjab"/>
    <s v="Kings XI Punjab"/>
    <x v="0"/>
    <x v="4"/>
    <s v="wickets"/>
    <n v="6"/>
    <n v="151"/>
    <n v="20"/>
    <s v="N"/>
    <s v="NA"/>
    <s v="AY Dandekar"/>
    <s v="M Erasmus"/>
  </r>
  <r>
    <n v="1178398"/>
    <s v="Chennai"/>
    <d v="2019-04-09T00:00:00"/>
    <x v="4"/>
    <x v="111"/>
    <x v="20"/>
    <s v="League"/>
    <s v="DL Chahar"/>
    <s v="Kolkata Knight Riders"/>
    <s v="Chennai Super Kings"/>
    <s v="Chennai Super Kings"/>
    <x v="0"/>
    <x v="1"/>
    <s v="wickets"/>
    <n v="7"/>
    <n v="109"/>
    <n v="20"/>
    <s v="N"/>
    <s v="NA"/>
    <s v="C Shamshuddin"/>
    <s v="RJ Tucker"/>
  </r>
  <r>
    <n v="1178399"/>
    <s v="Mumbai"/>
    <d v="2019-04-10T00:00:00"/>
    <x v="4"/>
    <x v="40"/>
    <x v="4"/>
    <s v="League"/>
    <s v="KA Pollard"/>
    <s v="Kings XI Punjab"/>
    <s v="Mumbai Indians"/>
    <s v="Mumbai Indians"/>
    <x v="0"/>
    <x v="7"/>
    <s v="wickets"/>
    <n v="3"/>
    <n v="198"/>
    <n v="20"/>
    <s v="N"/>
    <s v="NA"/>
    <s v="S Ravi"/>
    <s v="YC Barde"/>
  </r>
  <r>
    <n v="1178400"/>
    <s v="Jaipur"/>
    <d v="2019-04-11T00:00:00"/>
    <x v="4"/>
    <x v="65"/>
    <x v="21"/>
    <s v="League"/>
    <s v="MS Dhoni"/>
    <s v="Rajasthan Royals"/>
    <s v="Chennai Super Kings"/>
    <s v="Chennai Super Kings"/>
    <x v="0"/>
    <x v="1"/>
    <s v="wickets"/>
    <n v="4"/>
    <n v="152"/>
    <n v="20"/>
    <s v="N"/>
    <s v="NA"/>
    <s v="BNJ Oxenford"/>
    <s v="UV Gandhe"/>
  </r>
  <r>
    <n v="1178401"/>
    <s v="Kolkata"/>
    <d v="2019-04-12T00:00:00"/>
    <x v="4"/>
    <x v="85"/>
    <x v="0"/>
    <s v="League"/>
    <s v="S Dhawan"/>
    <s v="Kolkata Knight Riders"/>
    <s v="Delhi Capitals"/>
    <s v="Delhi Capitals"/>
    <x v="0"/>
    <x v="6"/>
    <s v="wickets"/>
    <n v="7"/>
    <n v="179"/>
    <n v="20"/>
    <s v="N"/>
    <s v="NA"/>
    <s v="CK Nandan"/>
    <s v="YC Barde"/>
  </r>
  <r>
    <n v="1178402"/>
    <s v="Mumbai"/>
    <d v="2019-04-13T00:00:00"/>
    <x v="4"/>
    <x v="79"/>
    <x v="4"/>
    <s v="League"/>
    <s v="JC Buttler"/>
    <s v="Mumbai Indians"/>
    <s v="Rajasthan Royals"/>
    <s v="Rajasthan Royals"/>
    <x v="0"/>
    <x v="2"/>
    <s v="wickets"/>
    <n v="4"/>
    <n v="188"/>
    <n v="20"/>
    <s v="N"/>
    <s v="NA"/>
    <s v="A Nand Kishore"/>
    <s v="Nitin Menon"/>
  </r>
  <r>
    <n v="1178403"/>
    <s v="Chandigarh"/>
    <d v="2019-04-13T00:00:00"/>
    <x v="4"/>
    <x v="32"/>
    <x v="18"/>
    <s v="League"/>
    <s v="AB de Villiers"/>
    <s v="Kings XI Punjab"/>
    <s v="Royal Challengers Bangalore"/>
    <s v="Royal Challengers Bangalore"/>
    <x v="0"/>
    <x v="3"/>
    <s v="wickets"/>
    <n v="8"/>
    <n v="174"/>
    <n v="20"/>
    <s v="N"/>
    <s v="NA"/>
    <s v="S Ravi"/>
    <s v="UV Gandhe"/>
  </r>
  <r>
    <n v="1178404"/>
    <s v="Kolkata"/>
    <d v="2019-04-14T00:00:00"/>
    <x v="4"/>
    <x v="112"/>
    <x v="0"/>
    <s v="League"/>
    <s v="Imran Tahir"/>
    <s v="Kolkata Knight Riders"/>
    <s v="Chennai Super Kings"/>
    <s v="Chennai Super Kings"/>
    <x v="0"/>
    <x v="1"/>
    <s v="wickets"/>
    <n v="5"/>
    <n v="162"/>
    <n v="20"/>
    <s v="N"/>
    <s v="NA"/>
    <s v="CK Nandan"/>
    <s v="RJ Tucker"/>
  </r>
  <r>
    <n v="1178405"/>
    <s v="Hyderabad"/>
    <d v="2019-04-14T00:00:00"/>
    <x v="4"/>
    <x v="113"/>
    <x v="19"/>
    <s v="League"/>
    <s v="KMA Paul"/>
    <s v="Delhi Capitals"/>
    <s v="Sunrisers Hyderabad"/>
    <s v="Sunrisers Hyderabad"/>
    <x v="0"/>
    <x v="6"/>
    <s v="runs"/>
    <n v="39"/>
    <n v="156"/>
    <n v="20"/>
    <s v="N"/>
    <s v="NA"/>
    <s v="AK Chaudhary"/>
    <s v="BNJ Oxenford"/>
  </r>
  <r>
    <n v="1178406"/>
    <s v="Mumbai"/>
    <d v="2019-04-15T00:00:00"/>
    <x v="4"/>
    <x v="19"/>
    <x v="4"/>
    <s v="League"/>
    <s v="SL Malinga"/>
    <s v="Royal Challengers Bangalore"/>
    <s v="Mumbai Indians"/>
    <s v="Mumbai Indians"/>
    <x v="0"/>
    <x v="7"/>
    <s v="wickets"/>
    <n v="5"/>
    <n v="172"/>
    <n v="20"/>
    <s v="N"/>
    <s v="NA"/>
    <s v="M Erasmus"/>
    <s v="Nitin Menon"/>
  </r>
  <r>
    <n v="1178407"/>
    <s v="Chandigarh"/>
    <d v="2019-04-16T00:00:00"/>
    <x v="4"/>
    <x v="114"/>
    <x v="18"/>
    <s v="League"/>
    <s v="R Ashwin"/>
    <s v="Kings XI Punjab"/>
    <s v="Rajasthan Royals"/>
    <s v="Rajasthan Royals"/>
    <x v="0"/>
    <x v="4"/>
    <s v="runs"/>
    <n v="12"/>
    <n v="183"/>
    <n v="20"/>
    <s v="N"/>
    <s v="NA"/>
    <s v="AK Chaudhary"/>
    <s v="VA Kulkarni"/>
  </r>
  <r>
    <n v="1178408"/>
    <s v="Hyderabad"/>
    <d v="2019-04-17T00:00:00"/>
    <x v="4"/>
    <x v="7"/>
    <x v="19"/>
    <s v="League"/>
    <s v="DA Warner"/>
    <s v="Chennai Super Kings"/>
    <s v="Sunrisers Hyderabad"/>
    <s v="Chennai Super Kings"/>
    <x v="1"/>
    <x v="5"/>
    <s v="wickets"/>
    <n v="6"/>
    <n v="133"/>
    <n v="20"/>
    <s v="N"/>
    <s v="NA"/>
    <s v="IJ Gould"/>
    <s v="UV Gandhe"/>
  </r>
  <r>
    <n v="1178409"/>
    <s v="Delhi"/>
    <d v="2019-04-18T00:00:00"/>
    <x v="4"/>
    <x v="30"/>
    <x v="22"/>
    <s v="League"/>
    <s v="HH Pandya"/>
    <s v="Mumbai Indians"/>
    <s v="Delhi Capitals"/>
    <s v="Mumbai Indians"/>
    <x v="1"/>
    <x v="7"/>
    <s v="runs"/>
    <n v="40"/>
    <n v="169"/>
    <n v="20"/>
    <s v="N"/>
    <s v="NA"/>
    <s v="BNJ Oxenford"/>
    <s v="NJ Llong"/>
  </r>
  <r>
    <n v="1178410"/>
    <s v="Kolkata"/>
    <d v="2019-04-19T00:00:00"/>
    <x v="4"/>
    <x v="36"/>
    <x v="0"/>
    <s v="League"/>
    <s v="V Kohli"/>
    <s v="Royal Challengers Bangalore"/>
    <s v="Kolkata Knight Riders"/>
    <s v="Kolkata Knight Riders"/>
    <x v="0"/>
    <x v="3"/>
    <s v="runs"/>
    <n v="10"/>
    <n v="214"/>
    <n v="20"/>
    <s v="N"/>
    <s v="NA"/>
    <s v="IJ Gould"/>
    <s v="Nitin Menon"/>
  </r>
  <r>
    <n v="1178411"/>
    <s v="Jaipur"/>
    <d v="2019-04-20T00:00:00"/>
    <x v="4"/>
    <x v="8"/>
    <x v="21"/>
    <s v="League"/>
    <s v="SPD Smith"/>
    <s v="Mumbai Indians"/>
    <s v="Rajasthan Royals"/>
    <s v="Rajasthan Royals"/>
    <x v="0"/>
    <x v="2"/>
    <s v="wickets"/>
    <n v="5"/>
    <n v="162"/>
    <n v="20"/>
    <s v="N"/>
    <s v="NA"/>
    <s v="S Ravi"/>
    <s v="YC Barde"/>
  </r>
  <r>
    <n v="1178412"/>
    <s v="Delhi"/>
    <d v="2019-04-20T00:00:00"/>
    <x v="4"/>
    <x v="17"/>
    <x v="22"/>
    <s v="League"/>
    <s v="SS Iyer"/>
    <s v="Kings XI Punjab"/>
    <s v="Delhi Capitals"/>
    <s v="Delhi Capitals"/>
    <x v="0"/>
    <x v="6"/>
    <s v="wickets"/>
    <n v="5"/>
    <n v="164"/>
    <n v="20"/>
    <s v="N"/>
    <s v="NA"/>
    <s v="C Shamshuddin"/>
    <s v="UV Gandhe"/>
  </r>
  <r>
    <n v="1178413"/>
    <s v="Hyderabad"/>
    <d v="2019-04-21T00:00:00"/>
    <x v="4"/>
    <x v="115"/>
    <x v="19"/>
    <s v="League"/>
    <s v="KK Ahmed"/>
    <s v="Kolkata Knight Riders"/>
    <s v="Sunrisers Hyderabad"/>
    <s v="Sunrisers Hyderabad"/>
    <x v="0"/>
    <x v="5"/>
    <s v="wickets"/>
    <n v="9"/>
    <n v="160"/>
    <n v="20"/>
    <s v="N"/>
    <s v="NA"/>
    <s v="NJ Llong"/>
    <s v="Nitin Menon"/>
  </r>
  <r>
    <n v="1178414"/>
    <s v="Bengaluru"/>
    <d v="2019-04-21T00:00:00"/>
    <x v="4"/>
    <x v="52"/>
    <x v="17"/>
    <s v="League"/>
    <s v="PA Patel"/>
    <s v="Royal Challengers Bangalore"/>
    <s v="Chennai Super Kings"/>
    <s v="Chennai Super Kings"/>
    <x v="0"/>
    <x v="3"/>
    <s v="runs"/>
    <n v="1"/>
    <n v="162"/>
    <n v="20"/>
    <s v="N"/>
    <s v="NA"/>
    <s v="RJ Tucker"/>
    <s v="VA Kulkarni"/>
  </r>
  <r>
    <n v="1178415"/>
    <s v="Jaipur"/>
    <d v="2019-04-22T00:00:00"/>
    <x v="4"/>
    <x v="57"/>
    <x v="21"/>
    <s v="League"/>
    <s v="RR Pant"/>
    <s v="Rajasthan Royals"/>
    <s v="Delhi Capitals"/>
    <s v="Delhi Capitals"/>
    <x v="0"/>
    <x v="6"/>
    <s v="wickets"/>
    <n v="6"/>
    <n v="192"/>
    <n v="20"/>
    <s v="N"/>
    <s v="NA"/>
    <s v="A Nand Kishore"/>
    <s v="S Ravi"/>
  </r>
  <r>
    <n v="1178416"/>
    <s v="Chennai"/>
    <d v="2019-04-23T00:00:00"/>
    <x v="4"/>
    <x v="38"/>
    <x v="20"/>
    <s v="League"/>
    <s v="SR Watson"/>
    <s v="Sunrisers Hyderabad"/>
    <s v="Chennai Super Kings"/>
    <s v="Chennai Super Kings"/>
    <x v="0"/>
    <x v="1"/>
    <s v="wickets"/>
    <n v="6"/>
    <n v="176"/>
    <n v="20"/>
    <s v="N"/>
    <s v="NA"/>
    <s v="AK Chaudhary"/>
    <s v="NJ Llong"/>
  </r>
  <r>
    <n v="1178417"/>
    <s v="Bengaluru"/>
    <d v="2019-04-24T00:00:00"/>
    <x v="4"/>
    <x v="32"/>
    <x v="17"/>
    <s v="League"/>
    <s v="AB de Villiers"/>
    <s v="Royal Challengers Bangalore"/>
    <s v="Kings XI Punjab"/>
    <s v="Kings XI Punjab"/>
    <x v="0"/>
    <x v="3"/>
    <s v="runs"/>
    <n v="17"/>
    <n v="203"/>
    <n v="20"/>
    <s v="N"/>
    <s v="NA"/>
    <s v="BNJ Oxenford"/>
    <s v="C Shamshuddin"/>
  </r>
  <r>
    <n v="1178418"/>
    <s v="Kolkata"/>
    <d v="2019-04-25T00:00:00"/>
    <x v="4"/>
    <x v="20"/>
    <x v="0"/>
    <s v="League"/>
    <s v="VR Aaron"/>
    <s v="Kolkata Knight Riders"/>
    <s v="Rajasthan Royals"/>
    <s v="Rajasthan Royals"/>
    <x v="0"/>
    <x v="2"/>
    <s v="wickets"/>
    <n v="3"/>
    <n v="176"/>
    <n v="20"/>
    <s v="N"/>
    <s v="NA"/>
    <s v="AY Dandekar"/>
    <s v="IJ Gould"/>
  </r>
  <r>
    <n v="1178419"/>
    <s v="Chennai"/>
    <d v="2019-04-26T00:00:00"/>
    <x v="4"/>
    <x v="41"/>
    <x v="20"/>
    <s v="League"/>
    <s v="RG Sharma"/>
    <s v="Mumbai Indians"/>
    <s v="Chennai Super Kings"/>
    <s v="Chennai Super Kings"/>
    <x v="0"/>
    <x v="7"/>
    <s v="runs"/>
    <n v="46"/>
    <n v="156"/>
    <n v="20"/>
    <s v="N"/>
    <s v="NA"/>
    <s v="AK Chaudhary"/>
    <s v="NJ Llong"/>
  </r>
  <r>
    <n v="1178420"/>
    <s v="Jaipur"/>
    <d v="2019-04-27T00:00:00"/>
    <x v="4"/>
    <x v="84"/>
    <x v="21"/>
    <s v="League"/>
    <s v="JD Unadkat"/>
    <s v="Sunrisers Hyderabad"/>
    <s v="Rajasthan Royals"/>
    <s v="Rajasthan Royals"/>
    <x v="0"/>
    <x v="2"/>
    <s v="wickets"/>
    <n v="7"/>
    <n v="161"/>
    <n v="20"/>
    <s v="N"/>
    <s v="NA"/>
    <s v="A Nand Kishore"/>
    <s v="YC Barde"/>
  </r>
  <r>
    <n v="1178421"/>
    <s v="Delhi"/>
    <d v="2019-04-28T00:00:00"/>
    <x v="4"/>
    <x v="85"/>
    <x v="22"/>
    <s v="League"/>
    <s v="S Dhawan"/>
    <s v="Delhi Capitals"/>
    <s v="Royal Challengers Bangalore"/>
    <s v="Delhi Capitals"/>
    <x v="1"/>
    <x v="6"/>
    <s v="runs"/>
    <n v="16"/>
    <n v="188"/>
    <n v="20"/>
    <s v="N"/>
    <s v="NA"/>
    <s v="BNJ Oxenford"/>
    <s v="KN Ananthapadmanabhan"/>
  </r>
  <r>
    <n v="1178422"/>
    <s v="Kolkata"/>
    <d v="2019-04-28T00:00:00"/>
    <x v="4"/>
    <x v="12"/>
    <x v="0"/>
    <s v="League"/>
    <s v="AD Russell"/>
    <s v="Kolkata Knight Riders"/>
    <s v="Mumbai Indians"/>
    <s v="Mumbai Indians"/>
    <x v="0"/>
    <x v="0"/>
    <s v="runs"/>
    <n v="34"/>
    <n v="233"/>
    <n v="20"/>
    <s v="N"/>
    <s v="NA"/>
    <s v="IJ Gould"/>
    <s v="Nitin Menon"/>
  </r>
  <r>
    <n v="1178423"/>
    <s v="Hyderabad"/>
    <d v="2019-04-29T00:00:00"/>
    <x v="4"/>
    <x v="7"/>
    <x v="19"/>
    <s v="League"/>
    <s v="DA Warner"/>
    <s v="Sunrisers Hyderabad"/>
    <s v="Kings XI Punjab"/>
    <s v="Kings XI Punjab"/>
    <x v="0"/>
    <x v="5"/>
    <s v="runs"/>
    <n v="45"/>
    <n v="213"/>
    <n v="20"/>
    <s v="N"/>
    <s v="NA"/>
    <s v="CK Nandan"/>
    <s v="S Ravi"/>
  </r>
  <r>
    <n v="1178424"/>
    <s v="Bengaluru"/>
    <d v="2019-04-30T00:00:00"/>
    <x v="4"/>
    <x v="23"/>
    <x v="17"/>
    <s v="League"/>
    <s v="NA"/>
    <s v="Royal Challengers Bangalore"/>
    <s v="Rajasthan Royals"/>
    <s v="Rajasthan Royals"/>
    <x v="0"/>
    <x v="8"/>
    <s v="no result"/>
    <s v="NA"/>
    <n v="63"/>
    <n v="5"/>
    <s v="N"/>
    <s v="NA"/>
    <s v="NJ Llong"/>
    <s v="UV Gandhe"/>
  </r>
  <r>
    <n v="1178425"/>
    <s v="Chennai"/>
    <d v="2019-05-01T00:00:00"/>
    <x v="4"/>
    <x v="65"/>
    <x v="20"/>
    <s v="League"/>
    <s v="MS Dhoni"/>
    <s v="Chennai Super Kings"/>
    <s v="Delhi Capitals"/>
    <s v="Delhi Capitals"/>
    <x v="0"/>
    <x v="1"/>
    <s v="runs"/>
    <n v="80"/>
    <n v="180"/>
    <n v="20"/>
    <s v="N"/>
    <s v="NA"/>
    <s v="AY Dandekar"/>
    <s v="Nitin Menon"/>
  </r>
  <r>
    <n v="1178426"/>
    <s v="Mumbai"/>
    <d v="2019-05-02T00:00:00"/>
    <x v="4"/>
    <x v="73"/>
    <x v="4"/>
    <s v="League"/>
    <s v="JJ Bumrah"/>
    <s v="Mumbai Indians"/>
    <s v="Sunrisers Hyderabad"/>
    <s v="Mumbai Indians"/>
    <x v="1"/>
    <x v="7"/>
    <s v="tie"/>
    <s v="NA"/>
    <n v="163"/>
    <n v="20"/>
    <s v="Y"/>
    <s v="NA"/>
    <s v="CK Nandan"/>
    <s v="S Ravi"/>
  </r>
  <r>
    <n v="1178427"/>
    <s v="Chandigarh"/>
    <d v="2019-05-03T00:00:00"/>
    <x v="4"/>
    <x v="116"/>
    <x v="18"/>
    <s v="League"/>
    <s v="Shubman Gill"/>
    <s v="Kings XI Punjab"/>
    <s v="Kolkata Knight Riders"/>
    <s v="Kolkata Knight Riders"/>
    <x v="0"/>
    <x v="0"/>
    <s v="wickets"/>
    <n v="7"/>
    <n v="184"/>
    <n v="20"/>
    <s v="N"/>
    <s v="NA"/>
    <s v="BNJ Oxenford"/>
    <s v="C Shamshuddin"/>
  </r>
  <r>
    <n v="1178428"/>
    <s v="Delhi"/>
    <d v="2019-05-04T00:00:00"/>
    <x v="4"/>
    <x v="43"/>
    <x v="22"/>
    <s v="League"/>
    <s v="A Mishra"/>
    <s v="Rajasthan Royals"/>
    <s v="Delhi Capitals"/>
    <s v="Rajasthan Royals"/>
    <x v="1"/>
    <x v="6"/>
    <s v="wickets"/>
    <n v="5"/>
    <n v="116"/>
    <n v="20"/>
    <s v="N"/>
    <s v="NA"/>
    <s v="AY Dandekar"/>
    <s v="IJ Gould"/>
  </r>
  <r>
    <n v="1178429"/>
    <s v="Bengaluru"/>
    <d v="2019-05-04T00:00:00"/>
    <x v="4"/>
    <x v="117"/>
    <x v="17"/>
    <s v="League"/>
    <s v="SO Hetmyer"/>
    <s v="Sunrisers Hyderabad"/>
    <s v="Royal Challengers Bangalore"/>
    <s v="Royal Challengers Bangalore"/>
    <x v="0"/>
    <x v="3"/>
    <s v="wickets"/>
    <n v="4"/>
    <n v="176"/>
    <n v="20"/>
    <s v="N"/>
    <s v="NA"/>
    <s v="AK Chaudhary"/>
    <s v="NJ Llong"/>
  </r>
  <r>
    <n v="1178430"/>
    <s v="Chandigarh"/>
    <d v="2019-05-05T00:00:00"/>
    <x v="4"/>
    <x v="92"/>
    <x v="18"/>
    <s v="League"/>
    <s v="KL Rahul"/>
    <s v="Chennai Super Kings"/>
    <s v="Kings XI Punjab"/>
    <s v="Kings XI Punjab"/>
    <x v="0"/>
    <x v="4"/>
    <s v="wickets"/>
    <n v="6"/>
    <n v="171"/>
    <n v="20"/>
    <s v="N"/>
    <s v="NA"/>
    <s v="C Shamshuddin"/>
    <s v="KN Ananthapadmanabhan"/>
  </r>
  <r>
    <n v="1178431"/>
    <s v="Mumbai"/>
    <d v="2019-05-05T00:00:00"/>
    <x v="4"/>
    <x v="30"/>
    <x v="4"/>
    <s v="League"/>
    <s v="HH Pandya"/>
    <s v="Kolkata Knight Riders"/>
    <s v="Mumbai Indians"/>
    <s v="Mumbai Indians"/>
    <x v="0"/>
    <x v="7"/>
    <s v="wickets"/>
    <n v="9"/>
    <n v="134"/>
    <n v="20"/>
    <s v="N"/>
    <s v="NA"/>
    <s v="A Nand Kishore"/>
    <s v="CK Nandan"/>
  </r>
  <r>
    <n v="1181764"/>
    <s v="Chennai"/>
    <d v="2019-05-07T00:00:00"/>
    <x v="4"/>
    <x v="51"/>
    <x v="20"/>
    <s v="Qualifier 1"/>
    <s v="SA Yadav"/>
    <s v="Chennai Super Kings"/>
    <s v="Mumbai Indians"/>
    <s v="Chennai Super Kings"/>
    <x v="1"/>
    <x v="7"/>
    <s v="wickets"/>
    <n v="6"/>
    <n v="132"/>
    <n v="20"/>
    <s v="N"/>
    <s v="NA"/>
    <s v="NJ Llong"/>
    <s v="Nitin Menon"/>
  </r>
  <r>
    <n v="1181766"/>
    <s v="Visakhapatnam"/>
    <d v="2019-05-08T00:00:00"/>
    <x v="4"/>
    <x v="57"/>
    <x v="7"/>
    <s v="Eliminator"/>
    <s v="RR Pant"/>
    <s v="Sunrisers Hyderabad"/>
    <s v="Delhi Capitals"/>
    <s v="Delhi Capitals"/>
    <x v="0"/>
    <x v="6"/>
    <s v="wickets"/>
    <n v="2"/>
    <n v="163"/>
    <n v="20"/>
    <s v="N"/>
    <s v="NA"/>
    <s v="BNJ Oxenford"/>
    <s v="S Ravi"/>
  </r>
  <r>
    <n v="1181767"/>
    <s v="Visakhapatnam"/>
    <d v="2019-05-10T00:00:00"/>
    <x v="4"/>
    <x v="104"/>
    <x v="7"/>
    <s v="Qualifier 2"/>
    <s v="F du Plessis"/>
    <s v="Delhi Capitals"/>
    <s v="Chennai Super Kings"/>
    <s v="Chennai Super Kings"/>
    <x v="0"/>
    <x v="1"/>
    <s v="wickets"/>
    <n v="6"/>
    <n v="148"/>
    <n v="20"/>
    <s v="N"/>
    <s v="NA"/>
    <s v="BNJ Oxenford"/>
    <s v="S Ravi"/>
  </r>
  <r>
    <n v="1181768"/>
    <s v="Hyderabad"/>
    <d v="2019-05-12T00:00:00"/>
    <x v="4"/>
    <x v="73"/>
    <x v="19"/>
    <s v="Final"/>
    <s v="JJ Bumrah"/>
    <s v="Mumbai Indians"/>
    <s v="Chennai Super Kings"/>
    <s v="Mumbai Indians"/>
    <x v="1"/>
    <x v="7"/>
    <s v="runs"/>
    <n v="1"/>
    <n v="150"/>
    <n v="20"/>
    <s v="N"/>
    <s v="NA"/>
    <s v="IJ Gould"/>
    <s v="Nitin Menon"/>
  </r>
  <r>
    <n v="1216492"/>
    <s v="Abu Dhabi"/>
    <d v="2020-09-19T00:00:00"/>
    <x v="5"/>
    <x v="25"/>
    <x v="23"/>
    <s v="League"/>
    <s v="AT Rayudu"/>
    <s v="Mumbai Indians"/>
    <s v="Chennai Super Kings"/>
    <s v="Chennai Super Kings"/>
    <x v="0"/>
    <x v="1"/>
    <s v="wickets"/>
    <n v="5"/>
    <n v="163"/>
    <n v="20"/>
    <s v="N"/>
    <s v="NA"/>
    <s v="CB Gaffaney"/>
    <s v="VK Sharma"/>
  </r>
  <r>
    <n v="1216493"/>
    <s v="NA"/>
    <d v="2020-09-20T00:00:00"/>
    <x v="5"/>
    <x v="58"/>
    <x v="24"/>
    <s v="League"/>
    <s v="MP Stoinis"/>
    <s v="Delhi Capitals"/>
    <s v="Kings XI Punjab"/>
    <s v="Kings XI Punjab"/>
    <x v="0"/>
    <x v="6"/>
    <s v="tie"/>
    <s v="NA"/>
    <n v="158"/>
    <n v="20"/>
    <s v="Y"/>
    <s v="NA"/>
    <s v="AK Chaudhary"/>
    <s v="Nitin Menon"/>
  </r>
  <r>
    <n v="1216534"/>
    <s v="NA"/>
    <d v="2020-09-21T00:00:00"/>
    <x v="5"/>
    <x v="118"/>
    <x v="24"/>
    <s v="League"/>
    <s v="YS Chahal"/>
    <s v="Royal Challengers Bangalore"/>
    <s v="Sunrisers Hyderabad"/>
    <s v="Sunrisers Hyderabad"/>
    <x v="0"/>
    <x v="3"/>
    <s v="runs"/>
    <n v="10"/>
    <n v="164"/>
    <n v="20"/>
    <s v="N"/>
    <s v="NA"/>
    <s v="AY Dandekar"/>
    <s v="Nitin Menon"/>
  </r>
  <r>
    <n v="1216496"/>
    <s v="NA"/>
    <d v="2020-09-22T00:00:00"/>
    <x v="5"/>
    <x v="49"/>
    <x v="25"/>
    <s v="League"/>
    <s v="SV Samson"/>
    <s v="Rajasthan Royals"/>
    <s v="Chennai Super Kings"/>
    <s v="Chennai Super Kings"/>
    <x v="0"/>
    <x v="2"/>
    <s v="runs"/>
    <n v="16"/>
    <n v="217"/>
    <n v="20"/>
    <s v="N"/>
    <s v="NA"/>
    <s v="C Shamshuddin"/>
    <s v="VA Kulkarni"/>
  </r>
  <r>
    <n v="1216508"/>
    <s v="Abu Dhabi"/>
    <d v="2020-09-23T00:00:00"/>
    <x v="5"/>
    <x v="41"/>
    <x v="23"/>
    <s v="League"/>
    <s v="RG Sharma"/>
    <s v="Mumbai Indians"/>
    <s v="Kolkata Knight Riders"/>
    <s v="Kolkata Knight Riders"/>
    <x v="0"/>
    <x v="7"/>
    <s v="runs"/>
    <n v="49"/>
    <n v="196"/>
    <n v="20"/>
    <s v="N"/>
    <s v="NA"/>
    <s v="CB Gaffaney"/>
    <s v="S Ravi"/>
  </r>
  <r>
    <n v="1216510"/>
    <s v="NA"/>
    <d v="2020-09-24T00:00:00"/>
    <x v="5"/>
    <x v="92"/>
    <x v="24"/>
    <s v="League"/>
    <s v="KL Rahul"/>
    <s v="Kings XI Punjab"/>
    <s v="Royal Challengers Bangalore"/>
    <s v="Royal Challengers Bangalore"/>
    <x v="0"/>
    <x v="4"/>
    <s v="runs"/>
    <n v="97"/>
    <n v="207"/>
    <n v="20"/>
    <s v="N"/>
    <s v="NA"/>
    <s v="AK Chaudhary"/>
    <s v="PR Reiffel"/>
  </r>
  <r>
    <n v="1216539"/>
    <s v="NA"/>
    <d v="2020-09-25T00:00:00"/>
    <x v="5"/>
    <x v="105"/>
    <x v="24"/>
    <s v="League"/>
    <s v="PP Shaw"/>
    <s v="Delhi Capitals"/>
    <s v="Chennai Super Kings"/>
    <s v="Chennai Super Kings"/>
    <x v="0"/>
    <x v="6"/>
    <s v="runs"/>
    <n v="44"/>
    <n v="176"/>
    <n v="20"/>
    <s v="N"/>
    <s v="NA"/>
    <s v="KN Ananthapadmanabhan"/>
    <s v="RK Illingworth"/>
  </r>
  <r>
    <n v="1216545"/>
    <s v="Abu Dhabi"/>
    <d v="2020-09-26T00:00:00"/>
    <x v="5"/>
    <x v="116"/>
    <x v="23"/>
    <s v="League"/>
    <s v="Shubman Gill"/>
    <s v="Sunrisers Hyderabad"/>
    <s v="Kolkata Knight Riders"/>
    <s v="Sunrisers Hyderabad"/>
    <x v="1"/>
    <x v="0"/>
    <s v="wickets"/>
    <n v="7"/>
    <n v="143"/>
    <n v="20"/>
    <s v="N"/>
    <s v="NA"/>
    <s v="CB Gaffaney"/>
    <s v="VK Sharma"/>
  </r>
  <r>
    <n v="1216527"/>
    <s v="NA"/>
    <d v="2020-09-27T00:00:00"/>
    <x v="5"/>
    <x v="49"/>
    <x v="25"/>
    <s v="League"/>
    <s v="SV Samson"/>
    <s v="Kings XI Punjab"/>
    <s v="Rajasthan Royals"/>
    <s v="Rajasthan Royals"/>
    <x v="0"/>
    <x v="2"/>
    <s v="wickets"/>
    <n v="4"/>
    <n v="224"/>
    <n v="20"/>
    <s v="N"/>
    <s v="NA"/>
    <s v="RK Illingworth"/>
    <s v="K Srinivasan"/>
  </r>
  <r>
    <n v="1216547"/>
    <s v="NA"/>
    <d v="2020-09-28T00:00:00"/>
    <x v="5"/>
    <x v="32"/>
    <x v="24"/>
    <s v="League"/>
    <s v="AB de Villiers"/>
    <s v="Royal Challengers Bangalore"/>
    <s v="Mumbai Indians"/>
    <s v="Mumbai Indians"/>
    <x v="0"/>
    <x v="3"/>
    <s v="tie"/>
    <s v="NA"/>
    <n v="202"/>
    <n v="20"/>
    <s v="Y"/>
    <s v="NA"/>
    <s v="Nitin Menon"/>
    <s v="PR Reiffel"/>
  </r>
  <r>
    <n v="1216532"/>
    <s v="Abu Dhabi"/>
    <d v="2020-09-29T00:00:00"/>
    <x v="5"/>
    <x v="71"/>
    <x v="23"/>
    <s v="League"/>
    <s v="Rashid Khan"/>
    <s v="Sunrisers Hyderabad"/>
    <s v="Delhi Capitals"/>
    <s v="Delhi Capitals"/>
    <x v="0"/>
    <x v="5"/>
    <s v="runs"/>
    <n v="15"/>
    <n v="163"/>
    <n v="20"/>
    <s v="N"/>
    <s v="NA"/>
    <s v="VK Sharma"/>
    <s v="S Ravi"/>
  </r>
  <r>
    <n v="1216504"/>
    <s v="NA"/>
    <d v="2020-09-30T00:00:00"/>
    <x v="5"/>
    <x v="119"/>
    <x v="24"/>
    <s v="League"/>
    <s v="Shivam Mavi"/>
    <s v="Kolkata Knight Riders"/>
    <s v="Rajasthan Royals"/>
    <s v="Rajasthan Royals"/>
    <x v="0"/>
    <x v="0"/>
    <s v="runs"/>
    <n v="37"/>
    <n v="175"/>
    <n v="20"/>
    <s v="N"/>
    <s v="NA"/>
    <s v="KN Ananthapadmanabhan"/>
    <s v="C Shamshuddin"/>
  </r>
  <r>
    <n v="1216503"/>
    <s v="Abu Dhabi"/>
    <d v="2020-10-01T00:00:00"/>
    <x v="5"/>
    <x v="40"/>
    <x v="23"/>
    <s v="League"/>
    <s v="KA Pollard"/>
    <s v="Mumbai Indians"/>
    <s v="Kings XI Punjab"/>
    <s v="Kings XI Punjab"/>
    <x v="0"/>
    <x v="7"/>
    <s v="runs"/>
    <n v="48"/>
    <n v="192"/>
    <n v="20"/>
    <s v="N"/>
    <s v="NA"/>
    <s v="VK Sharma"/>
    <s v="S Ravi"/>
  </r>
  <r>
    <n v="1216516"/>
    <s v="NA"/>
    <d v="2020-10-02T00:00:00"/>
    <x v="5"/>
    <x v="120"/>
    <x v="24"/>
    <s v="League"/>
    <s v="PK Garg"/>
    <s v="Sunrisers Hyderabad"/>
    <s v="Chennai Super Kings"/>
    <s v="Sunrisers Hyderabad"/>
    <x v="1"/>
    <x v="5"/>
    <s v="runs"/>
    <n v="7"/>
    <n v="165"/>
    <n v="20"/>
    <s v="N"/>
    <s v="NA"/>
    <s v="AK Chaudhary"/>
    <s v="PR Reiffel"/>
  </r>
  <r>
    <n v="1216514"/>
    <s v="Abu Dhabi"/>
    <d v="2020-10-03T00:00:00"/>
    <x v="5"/>
    <x v="118"/>
    <x v="23"/>
    <s v="League"/>
    <s v="YS Chahal"/>
    <s v="Rajasthan Royals"/>
    <s v="Royal Challengers Bangalore"/>
    <s v="Rajasthan Royals"/>
    <x v="1"/>
    <x v="3"/>
    <s v="wickets"/>
    <n v="8"/>
    <n v="155"/>
    <n v="20"/>
    <s v="N"/>
    <s v="NA"/>
    <s v="CB Gaffaney"/>
    <s v="S Ravi"/>
  </r>
  <r>
    <n v="1216515"/>
    <s v="NA"/>
    <d v="2020-10-03T00:00:00"/>
    <x v="5"/>
    <x v="17"/>
    <x v="25"/>
    <s v="League"/>
    <s v="SS Iyer"/>
    <s v="Delhi Capitals"/>
    <s v="Kolkata Knight Riders"/>
    <s v="Kolkata Knight Riders"/>
    <x v="0"/>
    <x v="6"/>
    <s v="runs"/>
    <n v="18"/>
    <n v="229"/>
    <n v="20"/>
    <s v="N"/>
    <s v="NA"/>
    <s v="VA Kulkarni"/>
    <s v="RK Illingworth"/>
  </r>
  <r>
    <n v="1216513"/>
    <s v="NA"/>
    <d v="2020-10-04T00:00:00"/>
    <x v="5"/>
    <x v="38"/>
    <x v="24"/>
    <s v="League"/>
    <s v="SR Watson"/>
    <s v="Kings XI Punjab"/>
    <s v="Chennai Super Kings"/>
    <s v="Kings XI Punjab"/>
    <x v="1"/>
    <x v="1"/>
    <s v="wickets"/>
    <n v="10"/>
    <n v="179"/>
    <n v="20"/>
    <s v="N"/>
    <s v="NA"/>
    <s v="AY Dandekar"/>
    <s v="Nitin Menon"/>
  </r>
  <r>
    <n v="1216538"/>
    <s v="NA"/>
    <d v="2020-10-04T00:00:00"/>
    <x v="5"/>
    <x v="21"/>
    <x v="25"/>
    <s v="League"/>
    <s v="TA Boult"/>
    <s v="Mumbai Indians"/>
    <s v="Sunrisers Hyderabad"/>
    <s v="Mumbai Indians"/>
    <x v="1"/>
    <x v="7"/>
    <s v="runs"/>
    <n v="34"/>
    <n v="209"/>
    <n v="20"/>
    <s v="N"/>
    <s v="NA"/>
    <s v="KN Ananthapadmanabhan"/>
    <s v="RK Illingworth"/>
  </r>
  <r>
    <n v="1216519"/>
    <s v="NA"/>
    <d v="2020-10-05T00:00:00"/>
    <x v="5"/>
    <x v="35"/>
    <x v="24"/>
    <s v="League"/>
    <s v="AR Patel"/>
    <s v="Delhi Capitals"/>
    <s v="Royal Challengers Bangalore"/>
    <s v="Royal Challengers Bangalore"/>
    <x v="0"/>
    <x v="6"/>
    <s v="runs"/>
    <n v="59"/>
    <n v="197"/>
    <n v="20"/>
    <s v="N"/>
    <s v="NA"/>
    <s v="Nitin Menon"/>
    <s v="YC Barde"/>
  </r>
  <r>
    <n v="1216511"/>
    <s v="Abu Dhabi"/>
    <d v="2020-10-06T00:00:00"/>
    <x v="5"/>
    <x v="51"/>
    <x v="23"/>
    <s v="League"/>
    <s v="SA Yadav"/>
    <s v="Mumbai Indians"/>
    <s v="Rajasthan Royals"/>
    <s v="Mumbai Indians"/>
    <x v="1"/>
    <x v="7"/>
    <s v="runs"/>
    <n v="57"/>
    <n v="194"/>
    <n v="20"/>
    <s v="N"/>
    <s v="NA"/>
    <s v="VK Sharma"/>
    <s v="S Ravi"/>
  </r>
  <r>
    <n v="1216501"/>
    <s v="Abu Dhabi"/>
    <d v="2020-10-07T00:00:00"/>
    <x v="5"/>
    <x v="83"/>
    <x v="23"/>
    <s v="League"/>
    <s v="RA Tripathi"/>
    <s v="Kolkata Knight Riders"/>
    <s v="Chennai Super Kings"/>
    <s v="Kolkata Knight Riders"/>
    <x v="1"/>
    <x v="0"/>
    <s v="runs"/>
    <n v="10"/>
    <n v="168"/>
    <n v="20"/>
    <s v="N"/>
    <s v="NA"/>
    <s v="KN Ananthapadmanabhan"/>
    <s v="RK Illingworth"/>
  </r>
  <r>
    <n v="1216542"/>
    <s v="NA"/>
    <d v="2020-10-08T00:00:00"/>
    <x v="5"/>
    <x v="106"/>
    <x v="24"/>
    <s v="League"/>
    <s v="JM Bairstow"/>
    <s v="Sunrisers Hyderabad"/>
    <s v="Kings XI Punjab"/>
    <s v="Sunrisers Hyderabad"/>
    <x v="1"/>
    <x v="5"/>
    <s v="runs"/>
    <n v="69"/>
    <n v="202"/>
    <n v="20"/>
    <s v="N"/>
    <s v="NA"/>
    <s v="AK Chaudhary"/>
    <s v="Nitin Menon"/>
  </r>
  <r>
    <n v="1216500"/>
    <s v="NA"/>
    <d v="2020-10-09T00:00:00"/>
    <x v="5"/>
    <x v="114"/>
    <x v="25"/>
    <s v="League"/>
    <s v="R Ashwin"/>
    <s v="Delhi Capitals"/>
    <s v="Rajasthan Royals"/>
    <s v="Rajasthan Royals"/>
    <x v="0"/>
    <x v="6"/>
    <s v="runs"/>
    <n v="46"/>
    <n v="185"/>
    <n v="20"/>
    <s v="N"/>
    <s v="NA"/>
    <s v="KN Ananthapadmanabhan"/>
    <s v="C Shamshuddin"/>
  </r>
  <r>
    <n v="1216523"/>
    <s v="Abu Dhabi"/>
    <d v="2020-10-10T00:00:00"/>
    <x v="5"/>
    <x v="121"/>
    <x v="23"/>
    <s v="League"/>
    <s v="KD Karthik"/>
    <s v="Kolkata Knight Riders"/>
    <s v="Kings XI Punjab"/>
    <s v="Kolkata Knight Riders"/>
    <x v="1"/>
    <x v="0"/>
    <s v="runs"/>
    <n v="2"/>
    <n v="165"/>
    <n v="20"/>
    <s v="N"/>
    <s v="NA"/>
    <s v="UV Gandhe"/>
    <s v="CB Gaffaney"/>
  </r>
  <r>
    <n v="1216525"/>
    <s v="NA"/>
    <d v="2020-10-10T00:00:00"/>
    <x v="5"/>
    <x v="36"/>
    <x v="24"/>
    <s v="League"/>
    <s v="V Kohli"/>
    <s v="Royal Challengers Bangalore"/>
    <s v="Chennai Super Kings"/>
    <s v="Royal Challengers Bangalore"/>
    <x v="1"/>
    <x v="3"/>
    <s v="runs"/>
    <n v="37"/>
    <n v="170"/>
    <n v="20"/>
    <s v="N"/>
    <s v="NA"/>
    <s v="AK Chaudhary"/>
    <s v="PR Reiffel"/>
  </r>
  <r>
    <n v="1216507"/>
    <s v="NA"/>
    <d v="2020-10-11T00:00:00"/>
    <x v="5"/>
    <x v="122"/>
    <x v="24"/>
    <s v="League"/>
    <s v="R Tewatia"/>
    <s v="Sunrisers Hyderabad"/>
    <s v="Rajasthan Royals"/>
    <s v="Sunrisers Hyderabad"/>
    <x v="1"/>
    <x v="2"/>
    <s v="wickets"/>
    <n v="5"/>
    <n v="159"/>
    <n v="20"/>
    <s v="N"/>
    <s v="NA"/>
    <s v="YC Barde"/>
    <s v="PR Reiffel"/>
  </r>
  <r>
    <n v="1216529"/>
    <s v="Abu Dhabi"/>
    <d v="2020-10-11T00:00:00"/>
    <x v="5"/>
    <x v="46"/>
    <x v="23"/>
    <s v="League"/>
    <s v="Q de Kock"/>
    <s v="Delhi Capitals"/>
    <s v="Mumbai Indians"/>
    <s v="Delhi Capitals"/>
    <x v="1"/>
    <x v="7"/>
    <s v="wickets"/>
    <n v="5"/>
    <n v="163"/>
    <n v="20"/>
    <s v="N"/>
    <s v="NA"/>
    <s v="CB Gaffaney"/>
    <s v="S Ravi"/>
  </r>
  <r>
    <n v="1216540"/>
    <s v="NA"/>
    <d v="2020-10-12T00:00:00"/>
    <x v="5"/>
    <x v="32"/>
    <x v="25"/>
    <s v="League"/>
    <s v="AB de Villiers"/>
    <s v="Royal Challengers Bangalore"/>
    <s v="Kolkata Knight Riders"/>
    <s v="Royal Challengers Bangalore"/>
    <x v="1"/>
    <x v="3"/>
    <s v="runs"/>
    <n v="82"/>
    <n v="195"/>
    <n v="20"/>
    <s v="N"/>
    <s v="NA"/>
    <s v="RK Illingworth"/>
    <s v="K Srinivasan"/>
  </r>
  <r>
    <n v="1216528"/>
    <s v="NA"/>
    <d v="2020-10-13T00:00:00"/>
    <x v="5"/>
    <x v="33"/>
    <x v="24"/>
    <s v="League"/>
    <s v="RA Jadeja"/>
    <s v="Chennai Super Kings"/>
    <s v="Sunrisers Hyderabad"/>
    <s v="Chennai Super Kings"/>
    <x v="1"/>
    <x v="1"/>
    <s v="runs"/>
    <n v="20"/>
    <n v="168"/>
    <n v="20"/>
    <s v="N"/>
    <s v="NA"/>
    <s v="AK Chaudhary"/>
    <s v="PR Reiffel"/>
  </r>
  <r>
    <n v="1216543"/>
    <s v="NA"/>
    <d v="2020-10-14T00:00:00"/>
    <x v="5"/>
    <x v="123"/>
    <x v="24"/>
    <s v="League"/>
    <s v="A Nortje"/>
    <s v="Delhi Capitals"/>
    <s v="Rajasthan Royals"/>
    <s v="Delhi Capitals"/>
    <x v="1"/>
    <x v="6"/>
    <s v="runs"/>
    <n v="13"/>
    <n v="162"/>
    <n v="20"/>
    <s v="N"/>
    <s v="NA"/>
    <s v="AK Chaudhary"/>
    <s v="Nitin Menon"/>
  </r>
  <r>
    <n v="1216531"/>
    <s v="NA"/>
    <d v="2020-10-15T00:00:00"/>
    <x v="5"/>
    <x v="92"/>
    <x v="25"/>
    <s v="League"/>
    <s v="KL Rahul"/>
    <s v="Royal Challengers Bangalore"/>
    <s v="Kings XI Punjab"/>
    <s v="Royal Challengers Bangalore"/>
    <x v="1"/>
    <x v="4"/>
    <s v="wickets"/>
    <n v="8"/>
    <n v="172"/>
    <n v="20"/>
    <s v="N"/>
    <s v="NA"/>
    <s v="KN Ananthapadmanabhan"/>
    <s v="C Shamshuddin"/>
  </r>
  <r>
    <n v="1216526"/>
    <s v="Abu Dhabi"/>
    <d v="2020-10-16T00:00:00"/>
    <x v="5"/>
    <x v="46"/>
    <x v="23"/>
    <s v="League"/>
    <s v="Q de Kock"/>
    <s v="Kolkata Knight Riders"/>
    <s v="Mumbai Indians"/>
    <s v="Kolkata Knight Riders"/>
    <x v="1"/>
    <x v="7"/>
    <s v="wickets"/>
    <n v="8"/>
    <n v="149"/>
    <n v="20"/>
    <s v="N"/>
    <s v="NA"/>
    <s v="CB Gaffaney"/>
    <s v="VK Sharma"/>
  </r>
  <r>
    <n v="1216509"/>
    <s v="NA"/>
    <d v="2020-10-17T00:00:00"/>
    <x v="5"/>
    <x v="85"/>
    <x v="25"/>
    <s v="League"/>
    <s v="S Dhawan"/>
    <s v="Chennai Super Kings"/>
    <s v="Delhi Capitals"/>
    <s v="Chennai Super Kings"/>
    <x v="1"/>
    <x v="6"/>
    <s v="wickets"/>
    <n v="5"/>
    <n v="180"/>
    <n v="20"/>
    <s v="N"/>
    <s v="NA"/>
    <s v="KN Ananthapadmanabhan"/>
    <s v="RK Illingworth"/>
  </r>
  <r>
    <n v="1216522"/>
    <s v="NA"/>
    <d v="2020-10-17T00:00:00"/>
    <x v="5"/>
    <x v="32"/>
    <x v="24"/>
    <s v="League"/>
    <s v="AB de Villiers"/>
    <s v="Rajasthan Royals"/>
    <s v="Royal Challengers Bangalore"/>
    <s v="Rajasthan Royals"/>
    <x v="1"/>
    <x v="3"/>
    <s v="wickets"/>
    <n v="7"/>
    <n v="178"/>
    <n v="20"/>
    <s v="N"/>
    <s v="NA"/>
    <s v="AK Chaudhary"/>
    <s v="Nitin Menon"/>
  </r>
  <r>
    <n v="1216512"/>
    <s v="Abu Dhabi"/>
    <d v="2020-10-18T00:00:00"/>
    <x v="5"/>
    <x v="80"/>
    <x v="23"/>
    <s v="League"/>
    <s v="LH Ferguson"/>
    <s v="Kolkata Knight Riders"/>
    <s v="Sunrisers Hyderabad"/>
    <s v="Sunrisers Hyderabad"/>
    <x v="0"/>
    <x v="0"/>
    <s v="tie"/>
    <s v="NA"/>
    <n v="164"/>
    <n v="20"/>
    <s v="Y"/>
    <s v="NA"/>
    <s v="PG Pathak"/>
    <s v="S Ravi"/>
  </r>
  <r>
    <n v="1216517"/>
    <s v="NA"/>
    <d v="2020-10-18T00:00:00"/>
    <x v="5"/>
    <x v="92"/>
    <x v="24"/>
    <s v="League"/>
    <s v="KL Rahul"/>
    <s v="Mumbai Indians"/>
    <s v="Kings XI Punjab"/>
    <s v="Mumbai Indians"/>
    <x v="1"/>
    <x v="4"/>
    <s v="tie"/>
    <s v="NA"/>
    <n v="177"/>
    <n v="20"/>
    <s v="Y"/>
    <s v="NA"/>
    <s v="Nitin Menon"/>
    <s v="PR Reiffel"/>
  </r>
  <r>
    <n v="1216533"/>
    <s v="Abu Dhabi"/>
    <d v="2020-10-19T00:00:00"/>
    <x v="5"/>
    <x v="79"/>
    <x v="23"/>
    <s v="League"/>
    <s v="JC Buttler"/>
    <s v="Chennai Super Kings"/>
    <s v="Rajasthan Royals"/>
    <s v="Chennai Super Kings"/>
    <x v="1"/>
    <x v="2"/>
    <s v="wickets"/>
    <n v="7"/>
    <n v="126"/>
    <n v="20"/>
    <s v="N"/>
    <s v="NA"/>
    <s v="CB Gaffaney"/>
    <s v="VK Sharma"/>
  </r>
  <r>
    <n v="1216546"/>
    <s v="NA"/>
    <d v="2020-10-20T00:00:00"/>
    <x v="5"/>
    <x v="85"/>
    <x v="24"/>
    <s v="League"/>
    <s v="S Dhawan"/>
    <s v="Delhi Capitals"/>
    <s v="Kings XI Punjab"/>
    <s v="Delhi Capitals"/>
    <x v="1"/>
    <x v="4"/>
    <s v="wickets"/>
    <n v="5"/>
    <n v="165"/>
    <n v="20"/>
    <s v="N"/>
    <s v="NA"/>
    <s v="C Shamshuddin"/>
    <s v="RK Illingworth"/>
  </r>
  <r>
    <n v="1216494"/>
    <s v="Abu Dhabi"/>
    <d v="2020-10-21T00:00:00"/>
    <x v="5"/>
    <x v="88"/>
    <x v="23"/>
    <s v="League"/>
    <s v="Mohammed Siraj"/>
    <s v="Kolkata Knight Riders"/>
    <s v="Royal Challengers Bangalore"/>
    <s v="Kolkata Knight Riders"/>
    <x v="1"/>
    <x v="3"/>
    <s v="wickets"/>
    <n v="8"/>
    <n v="85"/>
    <n v="20"/>
    <s v="N"/>
    <s v="NA"/>
    <s v="VK Sharma"/>
    <s v="S Ravi"/>
  </r>
  <r>
    <n v="1216518"/>
    <s v="NA"/>
    <d v="2020-10-22T00:00:00"/>
    <x v="5"/>
    <x v="124"/>
    <x v="24"/>
    <s v="League"/>
    <s v="MK Pandey"/>
    <s v="Rajasthan Royals"/>
    <s v="Sunrisers Hyderabad"/>
    <s v="Sunrisers Hyderabad"/>
    <x v="0"/>
    <x v="5"/>
    <s v="wickets"/>
    <n v="8"/>
    <n v="155"/>
    <n v="20"/>
    <s v="N"/>
    <s v="NA"/>
    <s v="Nitin Menon"/>
    <s v="PR Reiffel"/>
  </r>
  <r>
    <n v="1216521"/>
    <s v="NA"/>
    <d v="2020-10-23T00:00:00"/>
    <x v="5"/>
    <x v="21"/>
    <x v="25"/>
    <s v="League"/>
    <s v="TA Boult"/>
    <s v="Chennai Super Kings"/>
    <s v="Mumbai Indians"/>
    <s v="Mumbai Indians"/>
    <x v="0"/>
    <x v="7"/>
    <s v="wickets"/>
    <n v="10"/>
    <n v="115"/>
    <n v="20"/>
    <s v="N"/>
    <s v="NA"/>
    <s v="C Shamshuddin"/>
    <s v="VA Kulkarni"/>
  </r>
  <r>
    <n v="1216497"/>
    <s v="Abu Dhabi"/>
    <d v="2020-10-24T00:00:00"/>
    <x v="5"/>
    <x v="125"/>
    <x v="23"/>
    <s v="League"/>
    <s v="CV Varun"/>
    <s v="Kolkata Knight Riders"/>
    <s v="Delhi Capitals"/>
    <s v="Delhi Capitals"/>
    <x v="0"/>
    <x v="0"/>
    <s v="runs"/>
    <n v="59"/>
    <n v="195"/>
    <n v="20"/>
    <s v="N"/>
    <s v="NA"/>
    <s v="CB Gaffaney"/>
    <s v="PG Pathak"/>
  </r>
  <r>
    <n v="1216498"/>
    <s v="NA"/>
    <d v="2020-10-24T00:00:00"/>
    <x v="5"/>
    <x v="126"/>
    <x v="24"/>
    <s v="League"/>
    <s v="CJ Jordan"/>
    <s v="Kings XI Punjab"/>
    <s v="Sunrisers Hyderabad"/>
    <s v="Sunrisers Hyderabad"/>
    <x v="0"/>
    <x v="4"/>
    <s v="runs"/>
    <n v="12"/>
    <n v="127"/>
    <n v="20"/>
    <s v="N"/>
    <s v="NA"/>
    <s v="AY Dandekar"/>
    <s v="PR Reiffel"/>
  </r>
  <r>
    <n v="1216541"/>
    <s v="Abu Dhabi"/>
    <d v="2020-10-25T00:00:00"/>
    <x v="5"/>
    <x v="77"/>
    <x v="23"/>
    <s v="League"/>
    <s v="BA Stokes"/>
    <s v="Mumbai Indians"/>
    <s v="Rajasthan Royals"/>
    <s v="Mumbai Indians"/>
    <x v="1"/>
    <x v="2"/>
    <s v="wickets"/>
    <n v="8"/>
    <n v="196"/>
    <n v="20"/>
    <s v="N"/>
    <s v="NA"/>
    <s v="UV Gandhe"/>
    <s v="VK Sharma"/>
  </r>
  <r>
    <n v="1216544"/>
    <s v="NA"/>
    <d v="2020-10-25T00:00:00"/>
    <x v="5"/>
    <x v="127"/>
    <x v="24"/>
    <s v="League"/>
    <s v="RD Gaikwad"/>
    <s v="Royal Challengers Bangalore"/>
    <s v="Chennai Super Kings"/>
    <s v="Royal Challengers Bangalore"/>
    <x v="1"/>
    <x v="1"/>
    <s v="wickets"/>
    <n v="8"/>
    <n v="146"/>
    <n v="20"/>
    <s v="N"/>
    <s v="NA"/>
    <s v="C Shamshuddin"/>
    <s v="RK Illingworth"/>
  </r>
  <r>
    <n v="1216520"/>
    <s v="NA"/>
    <d v="2020-10-26T00:00:00"/>
    <x v="5"/>
    <x v="4"/>
    <x v="25"/>
    <s v="League"/>
    <s v="CH Gayle"/>
    <s v="Kolkata Knight Riders"/>
    <s v="Kings XI Punjab"/>
    <s v="Kings XI Punjab"/>
    <x v="0"/>
    <x v="4"/>
    <s v="wickets"/>
    <n v="8"/>
    <n v="150"/>
    <n v="20"/>
    <s v="N"/>
    <s v="NA"/>
    <s v="KN Ananthapadmanabhan"/>
    <s v="RK Illingworth"/>
  </r>
  <r>
    <n v="1216524"/>
    <s v="NA"/>
    <d v="2020-10-27T00:00:00"/>
    <x v="5"/>
    <x v="87"/>
    <x v="24"/>
    <s v="League"/>
    <s v="WP Saha"/>
    <s v="Sunrisers Hyderabad"/>
    <s v="Delhi Capitals"/>
    <s v="Delhi Capitals"/>
    <x v="0"/>
    <x v="5"/>
    <s v="runs"/>
    <n v="88"/>
    <n v="220"/>
    <n v="20"/>
    <s v="N"/>
    <s v="NA"/>
    <s v="AK Chaudhary"/>
    <s v="Nitin Menon"/>
  </r>
  <r>
    <n v="1216499"/>
    <s v="Abu Dhabi"/>
    <d v="2020-10-28T00:00:00"/>
    <x v="5"/>
    <x v="51"/>
    <x v="23"/>
    <s v="League"/>
    <s v="SA Yadav"/>
    <s v="Royal Challengers Bangalore"/>
    <s v="Mumbai Indians"/>
    <s v="Mumbai Indians"/>
    <x v="0"/>
    <x v="7"/>
    <s v="wickets"/>
    <n v="5"/>
    <n v="165"/>
    <n v="20"/>
    <s v="N"/>
    <s v="NA"/>
    <s v="UV Gandhe"/>
    <s v="CB Gaffaney"/>
  </r>
  <r>
    <n v="1216536"/>
    <s v="NA"/>
    <d v="2020-10-29T00:00:00"/>
    <x v="5"/>
    <x v="127"/>
    <x v="24"/>
    <s v="League"/>
    <s v="RD Gaikwad"/>
    <s v="Kolkata Knight Riders"/>
    <s v="Chennai Super Kings"/>
    <s v="Chennai Super Kings"/>
    <x v="0"/>
    <x v="1"/>
    <s v="wickets"/>
    <n v="6"/>
    <n v="173"/>
    <n v="20"/>
    <s v="N"/>
    <s v="NA"/>
    <s v="C Shamshuddin"/>
    <s v="RK Illingworth"/>
  </r>
  <r>
    <n v="1216537"/>
    <s v="Abu Dhabi"/>
    <d v="2020-10-30T00:00:00"/>
    <x v="5"/>
    <x v="77"/>
    <x v="23"/>
    <s v="League"/>
    <s v="BA Stokes"/>
    <s v="Kings XI Punjab"/>
    <s v="Rajasthan Royals"/>
    <s v="Rajasthan Royals"/>
    <x v="0"/>
    <x v="2"/>
    <s v="wickets"/>
    <n v="7"/>
    <n v="186"/>
    <n v="20"/>
    <s v="N"/>
    <s v="NA"/>
    <s v="CB Gaffaney"/>
    <s v="S Ravi"/>
  </r>
  <r>
    <n v="1216502"/>
    <s v="NA"/>
    <d v="2020-10-31T00:00:00"/>
    <x v="5"/>
    <x v="81"/>
    <x v="25"/>
    <s v="League"/>
    <s v="Sandeep Sharma"/>
    <s v="Royal Challengers Bangalore"/>
    <s v="Sunrisers Hyderabad"/>
    <s v="Sunrisers Hyderabad"/>
    <x v="0"/>
    <x v="5"/>
    <s v="wickets"/>
    <n v="5"/>
    <n v="121"/>
    <n v="20"/>
    <s v="N"/>
    <s v="NA"/>
    <s v="KN Ananthapadmanabhan"/>
    <s v="K Srinivasan"/>
  </r>
  <r>
    <n v="1216535"/>
    <s v="NA"/>
    <d v="2020-10-31T00:00:00"/>
    <x v="5"/>
    <x v="100"/>
    <x v="24"/>
    <s v="League"/>
    <s v="Ishan Kishan"/>
    <s v="Delhi Capitals"/>
    <s v="Mumbai Indians"/>
    <s v="Mumbai Indians"/>
    <x v="0"/>
    <x v="7"/>
    <s v="wickets"/>
    <n v="9"/>
    <n v="111"/>
    <n v="20"/>
    <s v="N"/>
    <s v="NA"/>
    <s v="YC Barde"/>
    <s v="PR Reiffel"/>
  </r>
  <r>
    <n v="1216506"/>
    <s v="Abu Dhabi"/>
    <d v="2020-11-01T00:00:00"/>
    <x v="5"/>
    <x v="127"/>
    <x v="23"/>
    <s v="League"/>
    <s v="RD Gaikwad"/>
    <s v="Kings XI Punjab"/>
    <s v="Chennai Super Kings"/>
    <s v="Chennai Super Kings"/>
    <x v="0"/>
    <x v="1"/>
    <s v="wickets"/>
    <n v="9"/>
    <n v="154"/>
    <n v="20"/>
    <s v="N"/>
    <s v="NA"/>
    <s v="PG Pathak"/>
    <s v="VK Sharma"/>
  </r>
  <r>
    <n v="1216530"/>
    <s v="NA"/>
    <d v="2020-11-01T00:00:00"/>
    <x v="5"/>
    <x v="128"/>
    <x v="24"/>
    <s v="League"/>
    <s v="PJ Cummins"/>
    <s v="Kolkata Knight Riders"/>
    <s v="Rajasthan Royals"/>
    <s v="Rajasthan Royals"/>
    <x v="0"/>
    <x v="0"/>
    <s v="runs"/>
    <n v="60"/>
    <n v="192"/>
    <n v="20"/>
    <s v="N"/>
    <s v="NA"/>
    <s v="Nitin Menon"/>
    <s v="PR Reiffel"/>
  </r>
  <r>
    <n v="1216505"/>
    <s v="Abu Dhabi"/>
    <d v="2020-11-02T00:00:00"/>
    <x v="5"/>
    <x v="123"/>
    <x v="23"/>
    <s v="League"/>
    <s v="A Nortje"/>
    <s v="Royal Challengers Bangalore"/>
    <s v="Delhi Capitals"/>
    <s v="Delhi Capitals"/>
    <x v="0"/>
    <x v="6"/>
    <s v="wickets"/>
    <n v="6"/>
    <n v="153"/>
    <n v="20"/>
    <s v="N"/>
    <s v="NA"/>
    <s v="CB Gaffaney"/>
    <s v="S Ravi"/>
  </r>
  <r>
    <n v="1216495"/>
    <s v="NA"/>
    <d v="2020-11-03T00:00:00"/>
    <x v="5"/>
    <x v="129"/>
    <x v="25"/>
    <s v="League"/>
    <s v="S Nadeem"/>
    <s v="Mumbai Indians"/>
    <s v="Sunrisers Hyderabad"/>
    <s v="Sunrisers Hyderabad"/>
    <x v="0"/>
    <x v="5"/>
    <s v="wickets"/>
    <n v="10"/>
    <n v="150"/>
    <n v="20"/>
    <s v="N"/>
    <s v="NA"/>
    <s v="C Shamshuddin"/>
    <s v="RK Illingworth"/>
  </r>
  <r>
    <n v="1237177"/>
    <s v="NA"/>
    <d v="2020-11-05T00:00:00"/>
    <x v="5"/>
    <x v="73"/>
    <x v="24"/>
    <s v="Qualifier 1"/>
    <s v="JJ Bumrah"/>
    <s v="Mumbai Indians"/>
    <s v="Delhi Capitals"/>
    <s v="Delhi Capitals"/>
    <x v="0"/>
    <x v="7"/>
    <s v="runs"/>
    <n v="57"/>
    <n v="201"/>
    <n v="20"/>
    <s v="N"/>
    <s v="NA"/>
    <s v="CB Gaffaney"/>
    <s v="Nitin Menon"/>
  </r>
  <r>
    <n v="1237178"/>
    <s v="Abu Dhabi"/>
    <d v="2020-11-06T00:00:00"/>
    <x v="5"/>
    <x v="78"/>
    <x v="23"/>
    <s v="Eliminator"/>
    <s v="KS Williamson"/>
    <s v="Royal Challengers Bangalore"/>
    <s v="Sunrisers Hyderabad"/>
    <s v="Sunrisers Hyderabad"/>
    <x v="0"/>
    <x v="5"/>
    <s v="wickets"/>
    <n v="6"/>
    <n v="132"/>
    <n v="20"/>
    <s v="N"/>
    <s v="NA"/>
    <s v="PR Reiffel"/>
    <s v="S Ravi"/>
  </r>
  <r>
    <n v="1237180"/>
    <s v="Abu Dhabi"/>
    <d v="2020-11-08T00:00:00"/>
    <x v="5"/>
    <x v="58"/>
    <x v="23"/>
    <s v="Qualifier 2"/>
    <s v="MP Stoinis"/>
    <s v="Delhi Capitals"/>
    <s v="Sunrisers Hyderabad"/>
    <s v="Delhi Capitals"/>
    <x v="1"/>
    <x v="6"/>
    <s v="runs"/>
    <n v="17"/>
    <n v="190"/>
    <n v="20"/>
    <s v="N"/>
    <s v="NA"/>
    <s v="PR Reiffel"/>
    <s v="S Ravi"/>
  </r>
  <r>
    <n v="1237181"/>
    <s v="NA"/>
    <d v="2020-11-10T00:00:00"/>
    <x v="5"/>
    <x v="21"/>
    <x v="24"/>
    <s v="Final"/>
    <s v="TA Boult"/>
    <s v="Delhi Capitals"/>
    <s v="Mumbai Indians"/>
    <s v="Delhi Capitals"/>
    <x v="1"/>
    <x v="7"/>
    <s v="wickets"/>
    <n v="5"/>
    <n v="157"/>
    <n v="20"/>
    <s v="N"/>
    <s v="NA"/>
    <s v="CB Gaffaney"/>
    <s v="Nitin Menon"/>
  </r>
  <r>
    <n v="1254058"/>
    <s v="Chennai"/>
    <d v="2021-04-09T00:00:00"/>
    <x v="6"/>
    <x v="89"/>
    <x v="26"/>
    <s v="League"/>
    <s v="HV Patel"/>
    <s v="Mumbai Indians"/>
    <s v="Royal Challengers Bangalore"/>
    <s v="Royal Challengers Bangalore"/>
    <x v="0"/>
    <x v="3"/>
    <s v="wickets"/>
    <n v="2"/>
    <n v="160"/>
    <n v="20"/>
    <s v="N"/>
    <s v="NA"/>
    <s v="KN Ananthapadmanabhan"/>
    <s v="Nitin Menon"/>
  </r>
  <r>
    <n v="1254059"/>
    <s v="Mumbai"/>
    <d v="2021-04-10T00:00:00"/>
    <x v="6"/>
    <x v="85"/>
    <x v="27"/>
    <s v="League"/>
    <s v="S Dhawan"/>
    <s v="Chennai Super Kings"/>
    <s v="Delhi Capitals"/>
    <s v="Delhi Capitals"/>
    <x v="0"/>
    <x v="6"/>
    <s v="wickets"/>
    <n v="7"/>
    <n v="189"/>
    <n v="20"/>
    <s v="N"/>
    <s v="NA"/>
    <s v="AK Chaudhary"/>
    <s v="VK Sharma"/>
  </r>
  <r>
    <n v="1254060"/>
    <s v="Chennai"/>
    <d v="2021-04-11T00:00:00"/>
    <x v="6"/>
    <x v="72"/>
    <x v="26"/>
    <s v="League"/>
    <s v="N Rana"/>
    <s v="Kolkata Knight Riders"/>
    <s v="Sunrisers Hyderabad"/>
    <s v="Sunrisers Hyderabad"/>
    <x v="0"/>
    <x v="0"/>
    <s v="runs"/>
    <n v="10"/>
    <n v="188"/>
    <n v="20"/>
    <s v="N"/>
    <s v="NA"/>
    <s v="KN Ananthapadmanabhan"/>
    <s v="Nitin Menon"/>
  </r>
  <r>
    <n v="1254061"/>
    <s v="Mumbai"/>
    <d v="2021-04-12T00:00:00"/>
    <x v="6"/>
    <x v="49"/>
    <x v="27"/>
    <s v="League"/>
    <s v="SV Samson"/>
    <s v="Punjab Kings"/>
    <s v="Rajasthan Royals"/>
    <s v="Rajasthan Royals"/>
    <x v="0"/>
    <x v="11"/>
    <s v="runs"/>
    <n v="4"/>
    <n v="222"/>
    <n v="20"/>
    <s v="N"/>
    <s v="NA"/>
    <s v="AK Chaudhary"/>
    <s v="S Ravi"/>
  </r>
  <r>
    <n v="1254062"/>
    <s v="Chennai"/>
    <d v="2021-04-13T00:00:00"/>
    <x v="6"/>
    <x v="130"/>
    <x v="26"/>
    <s v="League"/>
    <s v="RD Chahar"/>
    <s v="Mumbai Indians"/>
    <s v="Kolkata Knight Riders"/>
    <s v="Kolkata Knight Riders"/>
    <x v="0"/>
    <x v="7"/>
    <s v="runs"/>
    <n v="10"/>
    <n v="153"/>
    <n v="20"/>
    <s v="N"/>
    <s v="NA"/>
    <s v="C Shamshuddin"/>
    <s v="CB Gaffaney"/>
  </r>
  <r>
    <n v="1254063"/>
    <s v="Chennai"/>
    <d v="2021-04-14T00:00:00"/>
    <x v="6"/>
    <x v="69"/>
    <x v="26"/>
    <s v="League"/>
    <s v="GJ Maxwell"/>
    <s v="Royal Challengers Bangalore"/>
    <s v="Sunrisers Hyderabad"/>
    <s v="Sunrisers Hyderabad"/>
    <x v="0"/>
    <x v="3"/>
    <s v="runs"/>
    <n v="6"/>
    <n v="150"/>
    <n v="20"/>
    <s v="N"/>
    <s v="NA"/>
    <s v="Nitin Menon"/>
    <s v="UV Gandhe"/>
  </r>
  <r>
    <n v="1254064"/>
    <s v="Mumbai"/>
    <d v="2021-04-15T00:00:00"/>
    <x v="6"/>
    <x v="84"/>
    <x v="27"/>
    <s v="League"/>
    <s v="JD Unadkat"/>
    <s v="Delhi Capitals"/>
    <s v="Rajasthan Royals"/>
    <s v="Rajasthan Royals"/>
    <x v="0"/>
    <x v="2"/>
    <s v="wickets"/>
    <n v="3"/>
    <n v="148"/>
    <n v="20"/>
    <s v="N"/>
    <s v="NA"/>
    <s v="S Ravi"/>
    <s v="VK Sharma"/>
  </r>
  <r>
    <n v="1254065"/>
    <s v="Mumbai"/>
    <d v="2021-04-16T00:00:00"/>
    <x v="6"/>
    <x v="111"/>
    <x v="27"/>
    <s v="League"/>
    <s v="DL Chahar"/>
    <s v="Punjab Kings"/>
    <s v="Chennai Super Kings"/>
    <s v="Chennai Super Kings"/>
    <x v="0"/>
    <x v="1"/>
    <s v="wickets"/>
    <n v="6"/>
    <n v="107"/>
    <n v="20"/>
    <s v="N"/>
    <s v="NA"/>
    <s v="AK Chaudhary"/>
    <s v="AY Dandekar"/>
  </r>
  <r>
    <n v="1254066"/>
    <s v="Chennai"/>
    <d v="2021-04-17T00:00:00"/>
    <x v="6"/>
    <x v="40"/>
    <x v="26"/>
    <s v="League"/>
    <s v="KA Pollard"/>
    <s v="Mumbai Indians"/>
    <s v="Sunrisers Hyderabad"/>
    <s v="Mumbai Indians"/>
    <x v="1"/>
    <x v="7"/>
    <s v="runs"/>
    <n v="13"/>
    <n v="151"/>
    <n v="20"/>
    <s v="N"/>
    <s v="NA"/>
    <s v="CB Gaffaney"/>
    <s v="K Srinivasan"/>
  </r>
  <r>
    <n v="1254067"/>
    <s v="Chennai"/>
    <d v="2021-04-18T00:00:00"/>
    <x v="6"/>
    <x v="32"/>
    <x v="26"/>
    <s v="League"/>
    <s v="AB de Villiers"/>
    <s v="Royal Challengers Bangalore"/>
    <s v="Kolkata Knight Riders"/>
    <s v="Royal Challengers Bangalore"/>
    <x v="1"/>
    <x v="3"/>
    <s v="runs"/>
    <n v="38"/>
    <n v="205"/>
    <n v="20"/>
    <s v="N"/>
    <s v="NA"/>
    <s v="C Shamshuddin"/>
    <s v="Nitin Menon"/>
  </r>
  <r>
    <n v="1254068"/>
    <s v="Mumbai"/>
    <d v="2021-04-18T00:00:00"/>
    <x v="6"/>
    <x v="85"/>
    <x v="27"/>
    <s v="League"/>
    <s v="S Dhawan"/>
    <s v="Punjab Kings"/>
    <s v="Delhi Capitals"/>
    <s v="Delhi Capitals"/>
    <x v="0"/>
    <x v="6"/>
    <s v="wickets"/>
    <n v="6"/>
    <n v="196"/>
    <n v="20"/>
    <s v="N"/>
    <s v="NA"/>
    <s v="AK Chaudhary"/>
    <s v="PR Reiffel"/>
  </r>
  <r>
    <n v="1254069"/>
    <s v="Mumbai"/>
    <d v="2021-04-19T00:00:00"/>
    <x v="6"/>
    <x v="131"/>
    <x v="27"/>
    <s v="League"/>
    <s v="MM Ali"/>
    <s v="Chennai Super Kings"/>
    <s v="Rajasthan Royals"/>
    <s v="Rajasthan Royals"/>
    <x v="0"/>
    <x v="1"/>
    <s v="runs"/>
    <n v="45"/>
    <n v="189"/>
    <n v="20"/>
    <s v="N"/>
    <s v="NA"/>
    <s v="PR Reiffel"/>
    <s v="VK Sharma"/>
  </r>
  <r>
    <n v="1254070"/>
    <s v="Chennai"/>
    <d v="2021-04-20T00:00:00"/>
    <x v="6"/>
    <x v="43"/>
    <x v="26"/>
    <s v="League"/>
    <s v="A Mishra"/>
    <s v="Mumbai Indians"/>
    <s v="Delhi Capitals"/>
    <s v="Mumbai Indians"/>
    <x v="1"/>
    <x v="6"/>
    <s v="wickets"/>
    <n v="6"/>
    <n v="138"/>
    <n v="20"/>
    <s v="N"/>
    <s v="NA"/>
    <s v="C Shamshuddin"/>
    <s v="CB Gaffaney"/>
  </r>
  <r>
    <n v="1254071"/>
    <s v="Chennai"/>
    <d v="2021-04-21T00:00:00"/>
    <x v="6"/>
    <x v="106"/>
    <x v="26"/>
    <s v="League"/>
    <s v="JM Bairstow"/>
    <s v="Punjab Kings"/>
    <s v="Sunrisers Hyderabad"/>
    <s v="Punjab Kings"/>
    <x v="1"/>
    <x v="5"/>
    <s v="wickets"/>
    <n v="9"/>
    <n v="121"/>
    <n v="20"/>
    <s v="N"/>
    <s v="NA"/>
    <s v="K Srinivasan"/>
    <s v="Nitin Menon"/>
  </r>
  <r>
    <n v="1254072"/>
    <s v="Mumbai"/>
    <d v="2021-04-21T00:00:00"/>
    <x v="6"/>
    <x v="104"/>
    <x v="27"/>
    <s v="League"/>
    <s v="F du Plessis"/>
    <s v="Chennai Super Kings"/>
    <s v="Kolkata Knight Riders"/>
    <s v="Kolkata Knight Riders"/>
    <x v="0"/>
    <x v="1"/>
    <s v="runs"/>
    <n v="18"/>
    <n v="221"/>
    <n v="20"/>
    <s v="N"/>
    <s v="NA"/>
    <s v="AY Dandekar"/>
    <s v="PR Reiffel"/>
  </r>
  <r>
    <n v="1254073"/>
    <s v="Mumbai"/>
    <d v="2021-04-22T00:00:00"/>
    <x v="6"/>
    <x v="132"/>
    <x v="27"/>
    <s v="League"/>
    <s v="D Padikkal"/>
    <s v="Rajasthan Royals"/>
    <s v="Royal Challengers Bangalore"/>
    <s v="Royal Challengers Bangalore"/>
    <x v="0"/>
    <x v="3"/>
    <s v="wickets"/>
    <n v="10"/>
    <n v="178"/>
    <n v="20"/>
    <s v="N"/>
    <s v="NA"/>
    <s v="J Madanagopal"/>
    <s v="S Ravi"/>
  </r>
  <r>
    <n v="1254074"/>
    <s v="Chennai"/>
    <d v="2021-04-23T00:00:00"/>
    <x v="6"/>
    <x v="92"/>
    <x v="26"/>
    <s v="League"/>
    <s v="KL Rahul"/>
    <s v="Mumbai Indians"/>
    <s v="Punjab Kings"/>
    <s v="Punjab Kings"/>
    <x v="0"/>
    <x v="11"/>
    <s v="wickets"/>
    <n v="9"/>
    <n v="132"/>
    <n v="20"/>
    <s v="N"/>
    <s v="NA"/>
    <s v="C Shamshuddin"/>
    <s v="Nitin Menon"/>
  </r>
  <r>
    <n v="1254075"/>
    <s v="Mumbai"/>
    <d v="2021-04-24T00:00:00"/>
    <x v="6"/>
    <x v="54"/>
    <x v="27"/>
    <s v="League"/>
    <s v="CH Morris"/>
    <s v="Kolkata Knight Riders"/>
    <s v="Rajasthan Royals"/>
    <s v="Rajasthan Royals"/>
    <x v="0"/>
    <x v="2"/>
    <s v="wickets"/>
    <n v="6"/>
    <n v="134"/>
    <n v="20"/>
    <s v="N"/>
    <s v="NA"/>
    <s v="Navdeep Singh"/>
    <s v="S Ravi"/>
  </r>
  <r>
    <n v="1254076"/>
    <s v="Mumbai"/>
    <d v="2021-04-25T00:00:00"/>
    <x v="6"/>
    <x v="33"/>
    <x v="27"/>
    <s v="League"/>
    <s v="RA Jadeja"/>
    <s v="Chennai Super Kings"/>
    <s v="Royal Challengers Bangalore"/>
    <s v="Chennai Super Kings"/>
    <x v="1"/>
    <x v="1"/>
    <s v="runs"/>
    <n v="69"/>
    <n v="192"/>
    <n v="20"/>
    <s v="N"/>
    <s v="NA"/>
    <s v="AK Chaudhary"/>
    <s v="VK Sharma"/>
  </r>
  <r>
    <n v="1254077"/>
    <s v="Chennai"/>
    <d v="2021-04-25T00:00:00"/>
    <x v="6"/>
    <x v="105"/>
    <x v="26"/>
    <s v="League"/>
    <s v="PP Shaw"/>
    <s v="Delhi Capitals"/>
    <s v="Sunrisers Hyderabad"/>
    <s v="Delhi Capitals"/>
    <x v="1"/>
    <x v="6"/>
    <s v="tie"/>
    <s v="NA"/>
    <n v="160"/>
    <n v="20"/>
    <s v="Y"/>
    <s v="NA"/>
    <s v="CB Gaffaney"/>
    <s v="KN Ananthapadmanabhan"/>
  </r>
  <r>
    <n v="1254078"/>
    <s v="Ahmedabad"/>
    <d v="2021-04-26T00:00:00"/>
    <x v="6"/>
    <x v="29"/>
    <x v="28"/>
    <s v="League"/>
    <s v="EJG Morgan"/>
    <s v="Punjab Kings"/>
    <s v="Kolkata Knight Riders"/>
    <s v="Kolkata Knight Riders"/>
    <x v="0"/>
    <x v="0"/>
    <s v="wickets"/>
    <n v="5"/>
    <n v="124"/>
    <n v="20"/>
    <s v="N"/>
    <s v="NA"/>
    <s v="PR Reiffel"/>
    <s v="YC Barde"/>
  </r>
  <r>
    <n v="1254079"/>
    <s v="Ahmedabad"/>
    <d v="2021-04-27T00:00:00"/>
    <x v="6"/>
    <x v="32"/>
    <x v="28"/>
    <s v="League"/>
    <s v="AB de Villiers"/>
    <s v="Royal Challengers Bangalore"/>
    <s v="Delhi Capitals"/>
    <s v="Delhi Capitals"/>
    <x v="0"/>
    <x v="3"/>
    <s v="runs"/>
    <n v="1"/>
    <n v="172"/>
    <n v="20"/>
    <s v="N"/>
    <s v="NA"/>
    <s v="S Ravi"/>
    <s v="VK Sharma"/>
  </r>
  <r>
    <n v="1254080"/>
    <s v="Delhi"/>
    <d v="2021-04-28T00:00:00"/>
    <x v="6"/>
    <x v="127"/>
    <x v="29"/>
    <s v="League"/>
    <s v="RD Gaikwad"/>
    <s v="Sunrisers Hyderabad"/>
    <s v="Chennai Super Kings"/>
    <s v="Sunrisers Hyderabad"/>
    <x v="1"/>
    <x v="1"/>
    <s v="wickets"/>
    <n v="7"/>
    <n v="172"/>
    <n v="20"/>
    <s v="N"/>
    <s v="NA"/>
    <s v="C Shamshuddin"/>
    <s v="CK Nandan"/>
  </r>
  <r>
    <n v="1254081"/>
    <s v="Delhi"/>
    <d v="2021-04-29T00:00:00"/>
    <x v="6"/>
    <x v="46"/>
    <x v="29"/>
    <s v="League"/>
    <s v="Q de Kock"/>
    <s v="Rajasthan Royals"/>
    <s v="Mumbai Indians"/>
    <s v="Mumbai Indians"/>
    <x v="0"/>
    <x v="7"/>
    <s v="wickets"/>
    <n v="7"/>
    <n v="172"/>
    <n v="20"/>
    <s v="N"/>
    <s v="NA"/>
    <s v="CB Gaffaney"/>
    <s v="KN Ananthapadmanabhan"/>
  </r>
  <r>
    <n v="1254082"/>
    <s v="Ahmedabad"/>
    <d v="2021-04-29T00:00:00"/>
    <x v="6"/>
    <x v="105"/>
    <x v="28"/>
    <s v="League"/>
    <s v="PP Shaw"/>
    <s v="Kolkata Knight Riders"/>
    <s v="Delhi Capitals"/>
    <s v="Delhi Capitals"/>
    <x v="0"/>
    <x v="6"/>
    <s v="wickets"/>
    <n v="7"/>
    <n v="155"/>
    <n v="20"/>
    <s v="N"/>
    <s v="NA"/>
    <s v="AK Chaudhary"/>
    <s v="YC Barde"/>
  </r>
  <r>
    <n v="1254083"/>
    <s v="Ahmedabad"/>
    <d v="2021-04-30T00:00:00"/>
    <x v="6"/>
    <x v="133"/>
    <x v="28"/>
    <s v="League"/>
    <s v="Harpreet Brar"/>
    <s v="Punjab Kings"/>
    <s v="Royal Challengers Bangalore"/>
    <s v="Royal Challengers Bangalore"/>
    <x v="0"/>
    <x v="11"/>
    <s v="runs"/>
    <n v="34"/>
    <n v="180"/>
    <n v="20"/>
    <s v="N"/>
    <s v="NA"/>
    <s v="S Ravi"/>
    <s v="VK Sharma"/>
  </r>
  <r>
    <n v="1254084"/>
    <s v="Delhi"/>
    <d v="2021-05-01T00:00:00"/>
    <x v="6"/>
    <x v="40"/>
    <x v="29"/>
    <s v="League"/>
    <s v="KA Pollard"/>
    <s v="Chennai Super Kings"/>
    <s v="Mumbai Indians"/>
    <s v="Mumbai Indians"/>
    <x v="0"/>
    <x v="7"/>
    <s v="wickets"/>
    <n v="4"/>
    <n v="219"/>
    <n v="20"/>
    <s v="N"/>
    <s v="NA"/>
    <s v="KN Ananthapadmanabhan"/>
    <s v="CK Nandan"/>
  </r>
  <r>
    <n v="1254085"/>
    <s v="Delhi"/>
    <d v="2021-05-02T00:00:00"/>
    <x v="6"/>
    <x v="79"/>
    <x v="29"/>
    <s v="League"/>
    <s v="JC Buttler"/>
    <s v="Rajasthan Royals"/>
    <s v="Sunrisers Hyderabad"/>
    <s v="Sunrisers Hyderabad"/>
    <x v="0"/>
    <x v="2"/>
    <s v="runs"/>
    <n v="55"/>
    <n v="221"/>
    <n v="20"/>
    <s v="N"/>
    <s v="NA"/>
    <s v="C Shamshuddin"/>
    <s v="CB Gaffaney"/>
  </r>
  <r>
    <n v="1254086"/>
    <s v="Ahmedabad"/>
    <d v="2021-05-02T00:00:00"/>
    <x v="6"/>
    <x v="9"/>
    <x v="28"/>
    <s v="League"/>
    <s v="MA Agarwal"/>
    <s v="Punjab Kings"/>
    <s v="Delhi Capitals"/>
    <s v="Delhi Capitals"/>
    <x v="0"/>
    <x v="6"/>
    <s v="wickets"/>
    <n v="7"/>
    <n v="167"/>
    <n v="20"/>
    <s v="N"/>
    <s v="NA"/>
    <s v="AK Chaudhary"/>
    <s v="AY Dandekar"/>
  </r>
  <r>
    <n v="1254104"/>
    <s v="Dubai"/>
    <d v="2021-09-19T00:00:00"/>
    <x v="6"/>
    <x v="127"/>
    <x v="24"/>
    <s v="League"/>
    <s v="RD Gaikwad"/>
    <s v="Chennai Super Kings"/>
    <s v="Mumbai Indians"/>
    <s v="Chennai Super Kings"/>
    <x v="1"/>
    <x v="1"/>
    <s v="runs"/>
    <n v="20"/>
    <n v="157"/>
    <n v="20"/>
    <s v="N"/>
    <s v="NA"/>
    <s v="Nitin Menon"/>
    <s v="RK Illingworth"/>
  </r>
  <r>
    <n v="1254087"/>
    <s v="Abu Dhabi"/>
    <d v="2021-09-20T00:00:00"/>
    <x v="6"/>
    <x v="125"/>
    <x v="30"/>
    <s v="League"/>
    <s v="CV Varun"/>
    <s v="Royal Challengers Bangalore"/>
    <s v="Kolkata Knight Riders"/>
    <s v="Royal Challengers Bangalore"/>
    <x v="1"/>
    <x v="0"/>
    <s v="wickets"/>
    <n v="9"/>
    <n v="93"/>
    <n v="20"/>
    <s v="N"/>
    <s v="NA"/>
    <s v="CB Gaffaney"/>
    <s v="S Ravi"/>
  </r>
  <r>
    <n v="1254111"/>
    <s v="Dubai"/>
    <d v="2021-09-21T00:00:00"/>
    <x v="6"/>
    <x v="134"/>
    <x v="24"/>
    <s v="League"/>
    <s v="Kartik Tyagi"/>
    <s v="Rajasthan Royals"/>
    <s v="Punjab Kings"/>
    <s v="Punjab Kings"/>
    <x v="0"/>
    <x v="2"/>
    <s v="runs"/>
    <n v="2"/>
    <n v="186"/>
    <n v="20"/>
    <s v="N"/>
    <s v="NA"/>
    <s v="AK Chaudhary"/>
    <s v="MA Gough"/>
  </r>
  <r>
    <n v="1254105"/>
    <s v="Dubai"/>
    <d v="2021-09-22T00:00:00"/>
    <x v="6"/>
    <x v="123"/>
    <x v="24"/>
    <s v="League"/>
    <s v="A Nortje"/>
    <s v="Sunrisers Hyderabad"/>
    <s v="Delhi Capitals"/>
    <s v="Sunrisers Hyderabad"/>
    <x v="1"/>
    <x v="6"/>
    <s v="wickets"/>
    <n v="8"/>
    <n v="135"/>
    <n v="20"/>
    <s v="N"/>
    <s v="NA"/>
    <s v="KN Ananthapadmanabhan"/>
    <s v="RK Illingworth"/>
  </r>
  <r>
    <n v="1254096"/>
    <s v="Abu Dhabi"/>
    <d v="2021-09-23T00:00:00"/>
    <x v="6"/>
    <x v="74"/>
    <x v="30"/>
    <s v="League"/>
    <s v="SP Narine"/>
    <s v="Mumbai Indians"/>
    <s v="Kolkata Knight Riders"/>
    <s v="Kolkata Knight Riders"/>
    <x v="0"/>
    <x v="0"/>
    <s v="wickets"/>
    <n v="7"/>
    <n v="156"/>
    <n v="20"/>
    <s v="N"/>
    <s v="NA"/>
    <s v="S Ravi"/>
    <s v="VK Sharma"/>
  </r>
  <r>
    <n v="1254113"/>
    <s v="Sharjah"/>
    <d v="2021-09-24T00:00:00"/>
    <x v="6"/>
    <x v="22"/>
    <x v="25"/>
    <s v="League"/>
    <s v="DJ Bravo"/>
    <s v="Royal Challengers Bangalore"/>
    <s v="Chennai Super Kings"/>
    <s v="Chennai Super Kings"/>
    <x v="0"/>
    <x v="1"/>
    <s v="wickets"/>
    <n v="6"/>
    <n v="157"/>
    <n v="20"/>
    <s v="N"/>
    <s v="NA"/>
    <s v="AK Chaudhary"/>
    <s v="Nitin Menon"/>
  </r>
  <r>
    <n v="1254097"/>
    <s v="Abu Dhabi"/>
    <d v="2021-09-25T00:00:00"/>
    <x v="6"/>
    <x v="17"/>
    <x v="30"/>
    <s v="League"/>
    <s v="SS Iyer"/>
    <s v="Delhi Capitals"/>
    <s v="Rajasthan Royals"/>
    <s v="Rajasthan Royals"/>
    <x v="0"/>
    <x v="6"/>
    <s v="runs"/>
    <n v="33"/>
    <n v="155"/>
    <n v="20"/>
    <s v="N"/>
    <s v="NA"/>
    <s v="CB Gaffaney"/>
    <s v="UV Gandhe"/>
  </r>
  <r>
    <n v="1254107"/>
    <s v="Sharjah"/>
    <d v="2021-09-25T00:00:00"/>
    <x v="6"/>
    <x v="135"/>
    <x v="25"/>
    <s v="League"/>
    <s v="JO Holder"/>
    <s v="Punjab Kings"/>
    <s v="Sunrisers Hyderabad"/>
    <s v="Sunrisers Hyderabad"/>
    <x v="0"/>
    <x v="11"/>
    <s v="runs"/>
    <n v="5"/>
    <n v="126"/>
    <n v="20"/>
    <s v="N"/>
    <s v="NA"/>
    <s v="RK Illingworth"/>
    <s v="YC Barde"/>
  </r>
  <r>
    <n v="1254098"/>
    <s v="Abu Dhabi"/>
    <d v="2021-09-26T00:00:00"/>
    <x v="6"/>
    <x v="33"/>
    <x v="30"/>
    <s v="League"/>
    <s v="RA Jadeja"/>
    <s v="Kolkata Knight Riders"/>
    <s v="Chennai Super Kings"/>
    <s v="Kolkata Knight Riders"/>
    <x v="1"/>
    <x v="1"/>
    <s v="wickets"/>
    <n v="2"/>
    <n v="172"/>
    <n v="20"/>
    <s v="N"/>
    <s v="NA"/>
    <s v="CB Gaffaney"/>
    <s v="Tapan Sharma"/>
  </r>
  <r>
    <n v="1254108"/>
    <s v="Dubai"/>
    <d v="2021-09-26T00:00:00"/>
    <x v="6"/>
    <x v="69"/>
    <x v="24"/>
    <s v="League"/>
    <s v="GJ Maxwell"/>
    <s v="Royal Challengers Bangalore"/>
    <s v="Mumbai Indians"/>
    <s v="Mumbai Indians"/>
    <x v="0"/>
    <x v="3"/>
    <s v="runs"/>
    <n v="54"/>
    <n v="166"/>
    <n v="20"/>
    <s v="N"/>
    <s v="NA"/>
    <s v="AK Chaudhary"/>
    <s v="MA Gough"/>
  </r>
  <r>
    <n v="1254100"/>
    <s v="Dubai"/>
    <d v="2021-09-27T00:00:00"/>
    <x v="6"/>
    <x v="94"/>
    <x v="24"/>
    <s v="League"/>
    <s v="JJ Roy"/>
    <s v="Rajasthan Royals"/>
    <s v="Sunrisers Hyderabad"/>
    <s v="Rajasthan Royals"/>
    <x v="1"/>
    <x v="5"/>
    <s v="wickets"/>
    <n v="7"/>
    <n v="165"/>
    <n v="20"/>
    <s v="N"/>
    <s v="NA"/>
    <s v="KN Ananthapadmanabhan"/>
    <s v="Navdeep Singh"/>
  </r>
  <r>
    <n v="1254092"/>
    <s v="Sharjah"/>
    <d v="2021-09-28T00:00:00"/>
    <x v="6"/>
    <x v="74"/>
    <x v="25"/>
    <s v="League"/>
    <s v="SP Narine"/>
    <s v="Delhi Capitals"/>
    <s v="Kolkata Knight Riders"/>
    <s v="Kolkata Knight Riders"/>
    <x v="0"/>
    <x v="0"/>
    <s v="wickets"/>
    <n v="3"/>
    <n v="128"/>
    <n v="20"/>
    <s v="N"/>
    <s v="NA"/>
    <s v="Nitin Menon"/>
    <s v="HAS Khalid"/>
  </r>
  <r>
    <n v="1254099"/>
    <s v="Abu Dhabi"/>
    <d v="2021-09-28T00:00:00"/>
    <x v="6"/>
    <x v="40"/>
    <x v="30"/>
    <s v="League"/>
    <s v="KA Pollard"/>
    <s v="Punjab Kings"/>
    <s v="Mumbai Indians"/>
    <s v="Mumbai Indians"/>
    <x v="0"/>
    <x v="7"/>
    <s v="wickets"/>
    <n v="6"/>
    <n v="136"/>
    <n v="20"/>
    <s v="N"/>
    <s v="NA"/>
    <s v="S Ravi"/>
    <s v="VK Sharma"/>
  </r>
  <r>
    <n v="1254103"/>
    <s v="Dubai"/>
    <d v="2021-09-29T00:00:00"/>
    <x v="6"/>
    <x v="118"/>
    <x v="24"/>
    <s v="League"/>
    <s v="YS Chahal"/>
    <s v="Rajasthan Royals"/>
    <s v="Royal Challengers Bangalore"/>
    <s v="Royal Challengers Bangalore"/>
    <x v="0"/>
    <x v="3"/>
    <s v="wickets"/>
    <n v="7"/>
    <n v="150"/>
    <n v="20"/>
    <s v="N"/>
    <s v="NA"/>
    <s v="AY Dandekar"/>
    <s v="KN Ananthapadmanabhan"/>
  </r>
  <r>
    <n v="1254091"/>
    <s v="Sharjah"/>
    <d v="2021-09-30T00:00:00"/>
    <x v="6"/>
    <x v="136"/>
    <x v="25"/>
    <s v="League"/>
    <s v="JR Hazlewood"/>
    <s v="Sunrisers Hyderabad"/>
    <s v="Chennai Super Kings"/>
    <s v="Chennai Super Kings"/>
    <x v="0"/>
    <x v="1"/>
    <s v="wickets"/>
    <n v="6"/>
    <n v="135"/>
    <n v="20"/>
    <s v="N"/>
    <s v="NA"/>
    <s v="Nitin Menon"/>
    <s v="YC Barde"/>
  </r>
  <r>
    <n v="1254102"/>
    <s v="Dubai"/>
    <d v="2021-10-01T00:00:00"/>
    <x v="6"/>
    <x v="92"/>
    <x v="24"/>
    <s v="League"/>
    <s v="KL Rahul"/>
    <s v="Kolkata Knight Riders"/>
    <s v="Punjab Kings"/>
    <s v="Punjab Kings"/>
    <x v="0"/>
    <x v="11"/>
    <s v="wickets"/>
    <n v="5"/>
    <n v="166"/>
    <n v="20"/>
    <s v="N"/>
    <s v="NA"/>
    <s v="KN Ananthapadmanabhan"/>
    <s v="RK Illingworth"/>
  </r>
  <r>
    <n v="1254089"/>
    <s v="Abu Dhabi"/>
    <d v="2021-10-02T00:00:00"/>
    <x v="6"/>
    <x v="127"/>
    <x v="30"/>
    <s v="League"/>
    <s v="RD Gaikwad"/>
    <s v="Chennai Super Kings"/>
    <s v="Rajasthan Royals"/>
    <s v="Rajasthan Royals"/>
    <x v="0"/>
    <x v="2"/>
    <s v="wickets"/>
    <n v="7"/>
    <n v="190"/>
    <n v="20"/>
    <s v="N"/>
    <s v="NA"/>
    <s v="CB Gaffaney"/>
    <s v="VK Sharma"/>
  </r>
  <r>
    <n v="1254112"/>
    <s v="Sharjah"/>
    <d v="2021-10-02T00:00:00"/>
    <x v="6"/>
    <x v="35"/>
    <x v="25"/>
    <s v="League"/>
    <s v="AR Patel"/>
    <s v="Mumbai Indians"/>
    <s v="Delhi Capitals"/>
    <s v="Delhi Capitals"/>
    <x v="0"/>
    <x v="6"/>
    <s v="wickets"/>
    <n v="4"/>
    <n v="130"/>
    <n v="20"/>
    <s v="N"/>
    <s v="NA"/>
    <s v="AK Chaudhary"/>
    <s v="MA Gough"/>
  </r>
  <r>
    <n v="1254090"/>
    <s v="Sharjah"/>
    <d v="2021-10-03T00:00:00"/>
    <x v="6"/>
    <x v="69"/>
    <x v="25"/>
    <s v="League"/>
    <s v="GJ Maxwell"/>
    <s v="Royal Challengers Bangalore"/>
    <s v="Punjab Kings"/>
    <s v="Royal Challengers Bangalore"/>
    <x v="1"/>
    <x v="3"/>
    <s v="runs"/>
    <n v="6"/>
    <n v="165"/>
    <n v="20"/>
    <s v="N"/>
    <s v="NA"/>
    <s v="KN Ananthapadmanabhan"/>
    <s v="RK Illingworth"/>
  </r>
  <r>
    <n v="1254109"/>
    <s v="Dubai"/>
    <d v="2021-10-03T00:00:00"/>
    <x v="6"/>
    <x v="116"/>
    <x v="24"/>
    <s v="League"/>
    <s v="Shubman Gill"/>
    <s v="Sunrisers Hyderabad"/>
    <s v="Kolkata Knight Riders"/>
    <s v="Sunrisers Hyderabad"/>
    <x v="1"/>
    <x v="0"/>
    <s v="wickets"/>
    <n v="6"/>
    <n v="116"/>
    <n v="20"/>
    <s v="N"/>
    <s v="NA"/>
    <s v="J Madanagopal"/>
    <s v="MA Gough"/>
  </r>
  <r>
    <n v="1254110"/>
    <s v="Dubai"/>
    <d v="2021-10-04T00:00:00"/>
    <x v="6"/>
    <x v="35"/>
    <x v="24"/>
    <s v="League"/>
    <s v="AR Patel"/>
    <s v="Chennai Super Kings"/>
    <s v="Delhi Capitals"/>
    <s v="Delhi Capitals"/>
    <x v="0"/>
    <x v="6"/>
    <s v="wickets"/>
    <n v="3"/>
    <n v="137"/>
    <n v="20"/>
    <s v="N"/>
    <s v="NA"/>
    <s v="AK Chaudhary"/>
    <s v="Nitin Menon"/>
  </r>
  <r>
    <n v="1254093"/>
    <s v="Sharjah"/>
    <d v="2021-10-05T00:00:00"/>
    <x v="6"/>
    <x v="24"/>
    <x v="25"/>
    <s v="League"/>
    <s v="NM Coulter-Nile"/>
    <s v="Rajasthan Royals"/>
    <s v="Mumbai Indians"/>
    <s v="Mumbai Indians"/>
    <x v="0"/>
    <x v="7"/>
    <s v="wickets"/>
    <n v="8"/>
    <n v="91"/>
    <n v="20"/>
    <s v="N"/>
    <s v="NA"/>
    <s v="AK Chaudhary"/>
    <s v="MA Gough"/>
  </r>
  <r>
    <n v="1254095"/>
    <s v="Abu Dhabi"/>
    <d v="2021-10-06T00:00:00"/>
    <x v="6"/>
    <x v="78"/>
    <x v="30"/>
    <s v="League"/>
    <s v="KS Williamson"/>
    <s v="Sunrisers Hyderabad"/>
    <s v="Royal Challengers Bangalore"/>
    <s v="Royal Challengers Bangalore"/>
    <x v="0"/>
    <x v="5"/>
    <s v="runs"/>
    <n v="4"/>
    <n v="142"/>
    <n v="20"/>
    <s v="N"/>
    <s v="NA"/>
    <s v="S Ravi"/>
    <s v="UV Gandhe"/>
  </r>
  <r>
    <n v="1254094"/>
    <s v="Dubai"/>
    <d v="2021-10-07T00:00:00"/>
    <x v="6"/>
    <x v="92"/>
    <x v="24"/>
    <s v="League"/>
    <s v="KL Rahul"/>
    <s v="Chennai Super Kings"/>
    <s v="Punjab Kings"/>
    <s v="Punjab Kings"/>
    <x v="0"/>
    <x v="11"/>
    <s v="wickets"/>
    <n v="6"/>
    <n v="135"/>
    <n v="20"/>
    <s v="N"/>
    <s v="NA"/>
    <s v="K Srinivasan"/>
    <s v="RK Illingworth"/>
  </r>
  <r>
    <n v="1254106"/>
    <s v="Sharjah"/>
    <d v="2021-10-07T00:00:00"/>
    <x v="6"/>
    <x v="119"/>
    <x v="25"/>
    <s v="League"/>
    <s v="Shivam Mavi"/>
    <s v="Kolkata Knight Riders"/>
    <s v="Rajasthan Royals"/>
    <s v="Rajasthan Royals"/>
    <x v="0"/>
    <x v="0"/>
    <s v="runs"/>
    <n v="86"/>
    <n v="172"/>
    <n v="20"/>
    <s v="N"/>
    <s v="NA"/>
    <s v="MA Gough"/>
    <s v="HAS Khalid"/>
  </r>
  <r>
    <n v="1254088"/>
    <s v="Abu Dhabi"/>
    <d v="2021-10-08T00:00:00"/>
    <x v="6"/>
    <x v="100"/>
    <x v="30"/>
    <s v="League"/>
    <s v="Ishan Kishan"/>
    <s v="Mumbai Indians"/>
    <s v="Sunrisers Hyderabad"/>
    <s v="Mumbai Indians"/>
    <x v="1"/>
    <x v="7"/>
    <s v="runs"/>
    <n v="42"/>
    <n v="236"/>
    <n v="20"/>
    <s v="N"/>
    <s v="NA"/>
    <s v="Tapan Sharma"/>
    <s v="VK Sharma"/>
  </r>
  <r>
    <n v="1254101"/>
    <s v="Dubai"/>
    <d v="2021-10-08T00:00:00"/>
    <x v="6"/>
    <x v="137"/>
    <x v="24"/>
    <s v="League"/>
    <s v="KS Bharat"/>
    <s v="Delhi Capitals"/>
    <s v="Royal Challengers Bangalore"/>
    <s v="Royal Challengers Bangalore"/>
    <x v="0"/>
    <x v="3"/>
    <s v="wickets"/>
    <n v="7"/>
    <n v="165"/>
    <n v="20"/>
    <s v="N"/>
    <s v="NA"/>
    <s v="KN Ananthapadmanabhan"/>
    <s v="Nitin Menon"/>
  </r>
  <r>
    <n v="1254114"/>
    <s v="Dubai"/>
    <d v="2021-10-10T00:00:00"/>
    <x v="6"/>
    <x v="127"/>
    <x v="24"/>
    <s v="Qualifier 1"/>
    <s v="RD Gaikwad"/>
    <s v="Delhi Capitals"/>
    <s v="Chennai Super Kings"/>
    <s v="Chennai Super Kings"/>
    <x v="0"/>
    <x v="1"/>
    <s v="wickets"/>
    <n v="4"/>
    <n v="173"/>
    <n v="20"/>
    <s v="N"/>
    <s v="NA"/>
    <s v="Nitin Menon"/>
    <s v="RK Illingworth"/>
  </r>
  <r>
    <n v="1254115"/>
    <s v="Sharjah"/>
    <d v="2021-10-11T00:00:00"/>
    <x v="6"/>
    <x v="74"/>
    <x v="25"/>
    <s v="Eliminator"/>
    <s v="SP Narine"/>
    <s v="Royal Challengers Bangalore"/>
    <s v="Kolkata Knight Riders"/>
    <s v="Royal Challengers Bangalore"/>
    <x v="1"/>
    <x v="0"/>
    <s v="wickets"/>
    <n v="4"/>
    <n v="139"/>
    <n v="20"/>
    <s v="N"/>
    <s v="NA"/>
    <s v="CB Gaffaney"/>
    <s v="VK Sharma"/>
  </r>
  <r>
    <n v="1254116"/>
    <s v="Sharjah"/>
    <d v="2021-10-13T00:00:00"/>
    <x v="6"/>
    <x v="138"/>
    <x v="25"/>
    <s v="Qualifier 2"/>
    <s v="VR Iyer"/>
    <s v="Delhi Capitals"/>
    <s v="Kolkata Knight Riders"/>
    <s v="Kolkata Knight Riders"/>
    <x v="0"/>
    <x v="0"/>
    <s v="wickets"/>
    <n v="3"/>
    <n v="136"/>
    <n v="20"/>
    <s v="N"/>
    <s v="NA"/>
    <s v="KN Ananthapadmanabhan"/>
    <s v="MA Gough"/>
  </r>
  <r>
    <n v="1254117"/>
    <s v="Dubai"/>
    <d v="2021-10-15T00:00:00"/>
    <x v="6"/>
    <x v="104"/>
    <x v="24"/>
    <s v="Final"/>
    <s v="F du Plessis"/>
    <s v="Chennai Super Kings"/>
    <s v="Kolkata Knight Riders"/>
    <s v="Kolkata Knight Riders"/>
    <x v="0"/>
    <x v="1"/>
    <s v="runs"/>
    <n v="27"/>
    <n v="193"/>
    <n v="20"/>
    <s v="N"/>
    <s v="NA"/>
    <s v="Nitin Menon"/>
    <s v="RK Illingworth"/>
  </r>
  <r>
    <n v="1304047"/>
    <s v="Mumbai"/>
    <d v="2022-03-26T00:00:00"/>
    <x v="7"/>
    <x v="14"/>
    <x v="27"/>
    <s v="League"/>
    <s v="UT Yadav"/>
    <s v="Chennai Super Kings"/>
    <s v="Kolkata Knight Riders"/>
    <s v="Kolkata Knight Riders"/>
    <x v="0"/>
    <x v="0"/>
    <s v="wickets"/>
    <n v="6"/>
    <n v="132"/>
    <n v="20"/>
    <s v="N"/>
    <s v="NA"/>
    <s v="AK Chaudhary"/>
    <s v="Nitin Menon"/>
  </r>
  <r>
    <n v="1304048"/>
    <s v="Mumbai"/>
    <d v="2022-03-27T00:00:00"/>
    <x v="7"/>
    <x v="101"/>
    <x v="31"/>
    <s v="League"/>
    <s v="Kuldeep Yadav"/>
    <s v="Mumbai Indians"/>
    <s v="Delhi Capitals"/>
    <s v="Delhi Capitals"/>
    <x v="0"/>
    <x v="6"/>
    <s v="wickets"/>
    <n v="4"/>
    <n v="178"/>
    <n v="20"/>
    <s v="N"/>
    <s v="NA"/>
    <s v="RJ Tucker"/>
    <s v="HAS Khalid"/>
  </r>
  <r>
    <n v="1304049"/>
    <s v="Mumbai"/>
    <d v="2022-03-27T00:00:00"/>
    <x v="7"/>
    <x v="139"/>
    <x v="32"/>
    <s v="League"/>
    <s v="OF Smith"/>
    <s v="Royal Challengers Bangalore"/>
    <s v="Punjab Kings"/>
    <s v="Punjab Kings"/>
    <x v="0"/>
    <x v="11"/>
    <s v="wickets"/>
    <n v="5"/>
    <n v="206"/>
    <n v="20"/>
    <s v="N"/>
    <s v="NA"/>
    <s v="Nitin Menon"/>
    <s v="YC Barde"/>
  </r>
  <r>
    <n v="1304050"/>
    <s v="Mumbai"/>
    <d v="2022-03-28T00:00:00"/>
    <x v="7"/>
    <x v="82"/>
    <x v="27"/>
    <s v="League"/>
    <s v="Mohammed Shami"/>
    <s v="Lucknow Super Giants"/>
    <s v="Gujarat Titans"/>
    <s v="Gujarat Titans"/>
    <x v="0"/>
    <x v="10"/>
    <s v="wickets"/>
    <n v="5"/>
    <n v="159"/>
    <n v="20"/>
    <s v="N"/>
    <s v="NA"/>
    <s v="PG Pathak"/>
    <s v="VK Sharma"/>
  </r>
  <r>
    <n v="1304051"/>
    <s v="Pune"/>
    <d v="2022-03-29T00:00:00"/>
    <x v="7"/>
    <x v="49"/>
    <x v="33"/>
    <s v="League"/>
    <s v="SV Samson"/>
    <s v="Rajasthan Royals"/>
    <s v="Sunrisers Hyderabad"/>
    <s v="Sunrisers Hyderabad"/>
    <x v="0"/>
    <x v="2"/>
    <s v="runs"/>
    <n v="61"/>
    <n v="211"/>
    <n v="20"/>
    <s v="N"/>
    <s v="NA"/>
    <s v="BNJ Oxenford"/>
    <s v="UV Gandhe"/>
  </r>
  <r>
    <n v="1304052"/>
    <s v="Mumbai"/>
    <d v="2022-03-30T00:00:00"/>
    <x v="7"/>
    <x v="140"/>
    <x v="32"/>
    <s v="League"/>
    <s v="PWH de Silva"/>
    <s v="Kolkata Knight Riders"/>
    <s v="Royal Challengers Bangalore"/>
    <s v="Royal Challengers Bangalore"/>
    <x v="0"/>
    <x v="3"/>
    <s v="wickets"/>
    <n v="3"/>
    <n v="129"/>
    <n v="20"/>
    <s v="N"/>
    <s v="NA"/>
    <s v="J Madanagopal"/>
    <s v="Navdeep Singh"/>
  </r>
  <r>
    <n v="1304053"/>
    <s v="Mumbai"/>
    <d v="2022-03-31T00:00:00"/>
    <x v="7"/>
    <x v="141"/>
    <x v="31"/>
    <s v="League"/>
    <s v="E Lewis"/>
    <s v="Chennai Super Kings"/>
    <s v="Lucknow Super Giants"/>
    <s v="Lucknow Super Giants"/>
    <x v="0"/>
    <x v="12"/>
    <s v="wickets"/>
    <n v="6"/>
    <n v="211"/>
    <n v="20"/>
    <s v="N"/>
    <s v="NA"/>
    <s v="RJ Tucker"/>
    <s v="VK Sharma"/>
  </r>
  <r>
    <n v="1304054"/>
    <s v="Mumbai"/>
    <d v="2022-04-01T00:00:00"/>
    <x v="7"/>
    <x v="14"/>
    <x v="27"/>
    <s v="League"/>
    <s v="UT Yadav"/>
    <s v="Punjab Kings"/>
    <s v="Kolkata Knight Riders"/>
    <s v="Kolkata Knight Riders"/>
    <x v="0"/>
    <x v="0"/>
    <s v="wickets"/>
    <n v="6"/>
    <n v="138"/>
    <n v="20"/>
    <s v="N"/>
    <s v="NA"/>
    <s v="AK Chaudhary"/>
    <s v="HAS Khalid"/>
  </r>
  <r>
    <n v="1304055"/>
    <s v="Mumbai"/>
    <d v="2022-04-02T00:00:00"/>
    <x v="7"/>
    <x v="79"/>
    <x v="32"/>
    <s v="League"/>
    <s v="JC Buttler"/>
    <s v="Rajasthan Royals"/>
    <s v="Mumbai Indians"/>
    <s v="Mumbai Indians"/>
    <x v="0"/>
    <x v="2"/>
    <s v="runs"/>
    <n v="23"/>
    <n v="194"/>
    <n v="20"/>
    <s v="N"/>
    <s v="NA"/>
    <s v="Nitin Menon"/>
    <s v="PG Pathak"/>
  </r>
  <r>
    <n v="1304056"/>
    <s v="Pune"/>
    <d v="2022-04-02T00:00:00"/>
    <x v="7"/>
    <x v="80"/>
    <x v="33"/>
    <s v="League"/>
    <s v="LH Ferguson"/>
    <s v="Gujarat Titans"/>
    <s v="Delhi Capitals"/>
    <s v="Delhi Capitals"/>
    <x v="0"/>
    <x v="10"/>
    <s v="runs"/>
    <n v="14"/>
    <n v="172"/>
    <n v="20"/>
    <s v="N"/>
    <s v="NA"/>
    <s v="KN Ananthapadmanabhan"/>
    <s v="UV Gandhe"/>
  </r>
  <r>
    <n v="1304057"/>
    <s v="Mumbai"/>
    <d v="2022-04-03T00:00:00"/>
    <x v="7"/>
    <x v="142"/>
    <x v="31"/>
    <s v="League"/>
    <s v="LS Livingstone"/>
    <s v="Punjab Kings"/>
    <s v="Chennai Super Kings"/>
    <s v="Chennai Super Kings"/>
    <x v="0"/>
    <x v="11"/>
    <s v="runs"/>
    <n v="54"/>
    <n v="181"/>
    <n v="20"/>
    <s v="N"/>
    <s v="NA"/>
    <s v="RJ Tucker"/>
    <s v="YC Barde"/>
  </r>
  <r>
    <n v="1304058"/>
    <s v="Mumbai"/>
    <d v="2022-04-04T00:00:00"/>
    <x v="7"/>
    <x v="143"/>
    <x v="32"/>
    <s v="League"/>
    <s v="Avesh Khan"/>
    <s v="Lucknow Super Giants"/>
    <s v="Sunrisers Hyderabad"/>
    <s v="Sunrisers Hyderabad"/>
    <x v="0"/>
    <x v="12"/>
    <s v="runs"/>
    <n v="12"/>
    <n v="170"/>
    <n v="20"/>
    <s v="N"/>
    <s v="NA"/>
    <s v="J Madanagopal"/>
    <s v="Navdeep Singh"/>
  </r>
  <r>
    <n v="1304059"/>
    <s v="Mumbai"/>
    <d v="2022-04-05T00:00:00"/>
    <x v="7"/>
    <x v="121"/>
    <x v="27"/>
    <s v="League"/>
    <s v="KD Karthik"/>
    <s v="Rajasthan Royals"/>
    <s v="Royal Challengers Bangalore"/>
    <s v="Royal Challengers Bangalore"/>
    <x v="0"/>
    <x v="3"/>
    <s v="wickets"/>
    <n v="4"/>
    <n v="170"/>
    <n v="20"/>
    <s v="N"/>
    <s v="NA"/>
    <s v="AK Chaudhary"/>
    <s v="HAS Khalid"/>
  </r>
  <r>
    <n v="1304060"/>
    <s v="Pune"/>
    <d v="2022-04-06T00:00:00"/>
    <x v="7"/>
    <x v="128"/>
    <x v="33"/>
    <s v="League"/>
    <s v="PJ Cummins"/>
    <s v="Mumbai Indians"/>
    <s v="Kolkata Knight Riders"/>
    <s v="Kolkata Knight Riders"/>
    <x v="0"/>
    <x v="0"/>
    <s v="wickets"/>
    <n v="5"/>
    <n v="162"/>
    <n v="20"/>
    <s v="N"/>
    <s v="NA"/>
    <s v="BNJ Oxenford"/>
    <s v="KN Ananthapadmanabhan"/>
  </r>
  <r>
    <n v="1304061"/>
    <s v="Mumbai"/>
    <d v="2022-04-07T00:00:00"/>
    <x v="7"/>
    <x v="46"/>
    <x v="32"/>
    <s v="League"/>
    <s v="Q de Kock"/>
    <s v="Delhi Capitals"/>
    <s v="Lucknow Super Giants"/>
    <s v="Lucknow Super Giants"/>
    <x v="0"/>
    <x v="12"/>
    <s v="wickets"/>
    <n v="6"/>
    <n v="150"/>
    <n v="20"/>
    <s v="N"/>
    <s v="NA"/>
    <s v="RJ Tucker"/>
    <s v="Tapan Sharma"/>
  </r>
  <r>
    <n v="1304062"/>
    <s v="Mumbai"/>
    <d v="2022-04-08T00:00:00"/>
    <x v="7"/>
    <x v="116"/>
    <x v="31"/>
    <s v="League"/>
    <s v="Shubman Gill"/>
    <s v="Punjab Kings"/>
    <s v="Gujarat Titans"/>
    <s v="Gujarat Titans"/>
    <x v="0"/>
    <x v="10"/>
    <s v="wickets"/>
    <n v="6"/>
    <n v="190"/>
    <n v="20"/>
    <s v="N"/>
    <s v="NA"/>
    <s v="AK Chaudhary"/>
    <s v="VK Sharma"/>
  </r>
  <r>
    <n v="1304063"/>
    <s v="Mumbai"/>
    <d v="2022-04-09T00:00:00"/>
    <x v="7"/>
    <x v="144"/>
    <x v="32"/>
    <s v="League"/>
    <s v="Abhishek Sharma"/>
    <s v="Chennai Super Kings"/>
    <s v="Sunrisers Hyderabad"/>
    <s v="Sunrisers Hyderabad"/>
    <x v="0"/>
    <x v="5"/>
    <s v="wickets"/>
    <n v="8"/>
    <n v="155"/>
    <n v="20"/>
    <s v="N"/>
    <s v="NA"/>
    <s v="Navdeep Singh"/>
    <s v="Nitin Menon"/>
  </r>
  <r>
    <n v="1304064"/>
    <s v="Pune"/>
    <d v="2022-04-09T00:00:00"/>
    <x v="7"/>
    <x v="145"/>
    <x v="33"/>
    <s v="League"/>
    <s v="Anuj Rawat"/>
    <s v="Mumbai Indians"/>
    <s v="Royal Challengers Bangalore"/>
    <s v="Royal Challengers Bangalore"/>
    <x v="0"/>
    <x v="3"/>
    <s v="wickets"/>
    <n v="7"/>
    <n v="152"/>
    <n v="20"/>
    <s v="N"/>
    <s v="NA"/>
    <s v="BNJ Oxenford"/>
    <s v="KN Ananthapadmanabhan"/>
  </r>
  <r>
    <n v="1304065"/>
    <s v="Mumbai"/>
    <d v="2022-04-10T00:00:00"/>
    <x v="7"/>
    <x v="101"/>
    <x v="31"/>
    <s v="League"/>
    <s v="Kuldeep Yadav"/>
    <s v="Delhi Capitals"/>
    <s v="Kolkata Knight Riders"/>
    <s v="Kolkata Knight Riders"/>
    <x v="0"/>
    <x v="6"/>
    <s v="runs"/>
    <n v="44"/>
    <n v="216"/>
    <n v="20"/>
    <s v="N"/>
    <s v="NA"/>
    <s v="CB Gaffaney"/>
    <s v="J Madanagopal"/>
  </r>
  <r>
    <n v="1304066"/>
    <s v="Mumbai"/>
    <d v="2022-04-10T00:00:00"/>
    <x v="7"/>
    <x v="118"/>
    <x v="27"/>
    <s v="League"/>
    <s v="YS Chahal"/>
    <s v="Rajasthan Royals"/>
    <s v="Lucknow Super Giants"/>
    <s v="Lucknow Super Giants"/>
    <x v="0"/>
    <x v="2"/>
    <s v="runs"/>
    <n v="3"/>
    <n v="166"/>
    <n v="20"/>
    <s v="N"/>
    <s v="NA"/>
    <s v="AK Chaudhary"/>
    <s v="Tapan Sharma"/>
  </r>
  <r>
    <n v="1304067"/>
    <s v="Mumbai"/>
    <d v="2022-04-11T00:00:00"/>
    <x v="7"/>
    <x v="78"/>
    <x v="32"/>
    <s v="League"/>
    <s v="KS Williamson"/>
    <s v="Gujarat Titans"/>
    <s v="Sunrisers Hyderabad"/>
    <s v="Sunrisers Hyderabad"/>
    <x v="0"/>
    <x v="5"/>
    <s v="wickets"/>
    <n v="8"/>
    <n v="163"/>
    <n v="20"/>
    <s v="N"/>
    <s v="NA"/>
    <s v="Chirra Ravikanthreddy"/>
    <s v="RJ Tucker"/>
  </r>
  <r>
    <n v="1304068"/>
    <s v="Mumbai"/>
    <d v="2022-04-12T00:00:00"/>
    <x v="7"/>
    <x v="146"/>
    <x v="32"/>
    <s v="League"/>
    <s v="S Dube"/>
    <s v="Chennai Super Kings"/>
    <s v="Royal Challengers Bangalore"/>
    <s v="Royal Challengers Bangalore"/>
    <x v="0"/>
    <x v="1"/>
    <s v="runs"/>
    <n v="23"/>
    <n v="217"/>
    <n v="20"/>
    <s v="N"/>
    <s v="NA"/>
    <s v="Nitin Menon"/>
    <s v="N Pandit"/>
  </r>
  <r>
    <n v="1304069"/>
    <s v="Pune"/>
    <d v="2022-04-13T00:00:00"/>
    <x v="7"/>
    <x v="9"/>
    <x v="33"/>
    <s v="League"/>
    <s v="MA Agarwal"/>
    <s v="Punjab Kings"/>
    <s v="Mumbai Indians"/>
    <s v="Mumbai Indians"/>
    <x v="0"/>
    <x v="11"/>
    <s v="runs"/>
    <n v="12"/>
    <n v="199"/>
    <n v="20"/>
    <s v="N"/>
    <s v="NA"/>
    <s v="BNJ Oxenford"/>
    <s v="UV Gandhe"/>
  </r>
  <r>
    <n v="1304070"/>
    <s v="Mumbai"/>
    <d v="2022-04-14T00:00:00"/>
    <x v="7"/>
    <x v="30"/>
    <x v="32"/>
    <s v="League"/>
    <s v="HH Pandya"/>
    <s v="Gujarat Titans"/>
    <s v="Rajasthan Royals"/>
    <s v="Rajasthan Royals"/>
    <x v="0"/>
    <x v="10"/>
    <s v="runs"/>
    <n v="37"/>
    <n v="193"/>
    <n v="20"/>
    <s v="N"/>
    <s v="NA"/>
    <s v="CB Gaffaney"/>
    <s v="R Pandit"/>
  </r>
  <r>
    <n v="1304071"/>
    <s v="Mumbai"/>
    <d v="2022-04-15T00:00:00"/>
    <x v="7"/>
    <x v="83"/>
    <x v="31"/>
    <s v="League"/>
    <s v="RA Tripathi"/>
    <s v="Kolkata Knight Riders"/>
    <s v="Sunrisers Hyderabad"/>
    <s v="Sunrisers Hyderabad"/>
    <x v="0"/>
    <x v="5"/>
    <s v="wickets"/>
    <n v="7"/>
    <n v="176"/>
    <n v="20"/>
    <s v="N"/>
    <s v="NA"/>
    <s v="GR Sadashiv Iyer"/>
    <s v="VK Sharma"/>
  </r>
  <r>
    <n v="1304072"/>
    <s v="Mumbai"/>
    <d v="2022-04-16T00:00:00"/>
    <x v="7"/>
    <x v="92"/>
    <x v="31"/>
    <s v="League"/>
    <s v="KL Rahul"/>
    <s v="Lucknow Super Giants"/>
    <s v="Mumbai Indians"/>
    <s v="Mumbai Indians"/>
    <x v="0"/>
    <x v="12"/>
    <s v="runs"/>
    <n v="18"/>
    <n v="200"/>
    <n v="20"/>
    <s v="N"/>
    <s v="NA"/>
    <s v="AK Chaudhary"/>
    <s v="NA Patwardhan"/>
  </r>
  <r>
    <n v="1304073"/>
    <s v="Mumbai"/>
    <d v="2022-04-16T00:00:00"/>
    <x v="7"/>
    <x v="121"/>
    <x v="27"/>
    <s v="League"/>
    <s v="KD Karthik"/>
    <s v="Royal Challengers Bangalore"/>
    <s v="Delhi Capitals"/>
    <s v="Delhi Capitals"/>
    <x v="0"/>
    <x v="3"/>
    <s v="runs"/>
    <n v="16"/>
    <n v="190"/>
    <n v="20"/>
    <s v="N"/>
    <s v="NA"/>
    <s v="Chirra Ravikanthreddy"/>
    <s v="J Madanagopal"/>
  </r>
  <r>
    <n v="1304074"/>
    <s v="Mumbai"/>
    <d v="2022-04-17T00:00:00"/>
    <x v="7"/>
    <x v="147"/>
    <x v="32"/>
    <s v="League"/>
    <s v="Umran Malik"/>
    <s v="Punjab Kings"/>
    <s v="Sunrisers Hyderabad"/>
    <s v="Sunrisers Hyderabad"/>
    <x v="0"/>
    <x v="5"/>
    <s v="wickets"/>
    <n v="7"/>
    <n v="152"/>
    <n v="20"/>
    <s v="N"/>
    <s v="NA"/>
    <s v="PG Pathak"/>
    <s v="R Pandit"/>
  </r>
  <r>
    <n v="1304075"/>
    <s v="Pune"/>
    <d v="2022-04-17T00:00:00"/>
    <x v="7"/>
    <x v="148"/>
    <x v="33"/>
    <s v="League"/>
    <s v="DA Miller"/>
    <s v="Chennai Super Kings"/>
    <s v="Gujarat Titans"/>
    <s v="Gujarat Titans"/>
    <x v="0"/>
    <x v="10"/>
    <s v="wickets"/>
    <n v="3"/>
    <n v="170"/>
    <n v="20"/>
    <s v="N"/>
    <s v="NA"/>
    <s v="KN Ananthapadmanabhan"/>
    <s v="UV Gandhe"/>
  </r>
  <r>
    <n v="1304076"/>
    <s v="Mumbai"/>
    <d v="2022-04-18T00:00:00"/>
    <x v="7"/>
    <x v="118"/>
    <x v="31"/>
    <s v="League"/>
    <s v="YS Chahal"/>
    <s v="Rajasthan Royals"/>
    <s v="Kolkata Knight Riders"/>
    <s v="Kolkata Knight Riders"/>
    <x v="0"/>
    <x v="2"/>
    <s v="runs"/>
    <n v="7"/>
    <n v="218"/>
    <n v="20"/>
    <s v="N"/>
    <s v="NA"/>
    <s v="GR Sadashiv Iyer"/>
    <s v="VK Sharma"/>
  </r>
  <r>
    <n v="1304077"/>
    <s v="Mumbai"/>
    <d v="2022-04-19T00:00:00"/>
    <x v="7"/>
    <x v="104"/>
    <x v="32"/>
    <s v="League"/>
    <s v="F du Plessis"/>
    <s v="Royal Challengers Bangalore"/>
    <s v="Lucknow Super Giants"/>
    <s v="Lucknow Super Giants"/>
    <x v="0"/>
    <x v="3"/>
    <s v="runs"/>
    <n v="18"/>
    <n v="182"/>
    <n v="20"/>
    <s v="N"/>
    <s v="NA"/>
    <s v="CB Gaffaney"/>
    <s v="N Pandit"/>
  </r>
  <r>
    <n v="1304078"/>
    <s v="Mumbai"/>
    <d v="2022-04-20T00:00:00"/>
    <x v="7"/>
    <x v="101"/>
    <x v="31"/>
    <s v="League"/>
    <s v="Kuldeep Yadav"/>
    <s v="Punjab Kings"/>
    <s v="Delhi Capitals"/>
    <s v="Delhi Capitals"/>
    <x v="0"/>
    <x v="6"/>
    <s v="wickets"/>
    <n v="9"/>
    <n v="116"/>
    <n v="20"/>
    <s v="N"/>
    <s v="NA"/>
    <s v="RJ Tucker"/>
    <s v="Tapan Sharma"/>
  </r>
  <r>
    <n v="1304079"/>
    <s v="Navi Mumbai"/>
    <d v="2022-04-21T00:00:00"/>
    <x v="7"/>
    <x v="149"/>
    <x v="32"/>
    <s v="League"/>
    <s v="Mukesh Choudhary"/>
    <s v="Mumbai Indians"/>
    <s v="Chennai Super Kings"/>
    <s v="Chennai Super Kings"/>
    <x v="0"/>
    <x v="1"/>
    <s v="wickets"/>
    <n v="3"/>
    <n v="156"/>
    <n v="20"/>
    <s v="N"/>
    <s v="NA"/>
    <s v="BNJ Oxenford"/>
    <s v="UV Gandhe"/>
  </r>
  <r>
    <n v="1304080"/>
    <s v="Mumbai"/>
    <d v="2022-04-22T00:00:00"/>
    <x v="7"/>
    <x v="79"/>
    <x v="27"/>
    <s v="League"/>
    <s v="JC Buttler"/>
    <s v="Rajasthan Royals"/>
    <s v="Delhi Capitals"/>
    <s v="Delhi Capitals"/>
    <x v="0"/>
    <x v="2"/>
    <s v="runs"/>
    <n v="15"/>
    <n v="223"/>
    <n v="20"/>
    <s v="N"/>
    <s v="NA"/>
    <s v="NA Patwardhan"/>
    <s v="Nitin Menon"/>
  </r>
  <r>
    <n v="1304081"/>
    <s v="Navi Mumbai"/>
    <d v="2022-04-23T00:00:00"/>
    <x v="7"/>
    <x v="71"/>
    <x v="32"/>
    <s v="League"/>
    <s v="Rashid Khan"/>
    <s v="Gujarat Titans"/>
    <s v="Kolkata Knight Riders"/>
    <s v="Gujarat Titans"/>
    <x v="1"/>
    <x v="10"/>
    <s v="runs"/>
    <n v="8"/>
    <n v="157"/>
    <n v="20"/>
    <s v="N"/>
    <s v="NA"/>
    <s v="KN Ananthapadmanabhan"/>
    <s v="UV Gandhe"/>
  </r>
  <r>
    <n v="1304082"/>
    <s v="Mumbai"/>
    <d v="2022-04-23T00:00:00"/>
    <x v="7"/>
    <x v="150"/>
    <x v="31"/>
    <s v="League"/>
    <s v="M Jansen"/>
    <s v="Royal Challengers Bangalore"/>
    <s v="Sunrisers Hyderabad"/>
    <s v="Sunrisers Hyderabad"/>
    <x v="0"/>
    <x v="5"/>
    <s v="wickets"/>
    <n v="9"/>
    <n v="69"/>
    <n v="20"/>
    <s v="N"/>
    <s v="NA"/>
    <s v="Chirra Ravikanthreddy"/>
    <s v="J Madanagopal"/>
  </r>
  <r>
    <n v="1304083"/>
    <s v="Mumbai"/>
    <d v="2022-04-24T00:00:00"/>
    <x v="7"/>
    <x v="92"/>
    <x v="27"/>
    <s v="League"/>
    <s v="KL Rahul"/>
    <s v="Lucknow Super Giants"/>
    <s v="Mumbai Indians"/>
    <s v="Mumbai Indians"/>
    <x v="0"/>
    <x v="12"/>
    <s v="runs"/>
    <n v="36"/>
    <n v="169"/>
    <n v="20"/>
    <s v="N"/>
    <s v="NA"/>
    <s v="M Erasmus"/>
    <s v="HAS Khalid"/>
  </r>
  <r>
    <n v="1304084"/>
    <s v="Mumbai"/>
    <d v="2022-04-25T00:00:00"/>
    <x v="7"/>
    <x v="85"/>
    <x v="27"/>
    <s v="League"/>
    <s v="S Dhawan"/>
    <s v="Punjab Kings"/>
    <s v="Chennai Super Kings"/>
    <s v="Chennai Super Kings"/>
    <x v="0"/>
    <x v="11"/>
    <s v="runs"/>
    <n v="11"/>
    <n v="188"/>
    <n v="20"/>
    <s v="N"/>
    <s v="NA"/>
    <s v="M Erasmus"/>
    <s v="Tapan Sharma"/>
  </r>
  <r>
    <n v="1304085"/>
    <s v="Pune"/>
    <d v="2022-04-26T00:00:00"/>
    <x v="7"/>
    <x v="151"/>
    <x v="33"/>
    <s v="League"/>
    <s v="R Parag"/>
    <s v="Rajasthan Royals"/>
    <s v="Royal Challengers Bangalore"/>
    <s v="Royal Challengers Bangalore"/>
    <x v="0"/>
    <x v="2"/>
    <s v="runs"/>
    <n v="29"/>
    <n v="145"/>
    <n v="20"/>
    <s v="N"/>
    <s v="NA"/>
    <s v="BNJ Oxenford"/>
    <s v="KN Ananthapadmanabhan"/>
  </r>
  <r>
    <n v="1304086"/>
    <s v="Mumbai"/>
    <d v="2022-04-27T00:00:00"/>
    <x v="7"/>
    <x v="147"/>
    <x v="27"/>
    <s v="League"/>
    <s v="Umran Malik"/>
    <s v="Sunrisers Hyderabad"/>
    <s v="Gujarat Titans"/>
    <s v="Gujarat Titans"/>
    <x v="0"/>
    <x v="10"/>
    <s v="wickets"/>
    <n v="5"/>
    <n v="196"/>
    <n v="20"/>
    <s v="N"/>
    <s v="NA"/>
    <s v="CB Gaffaney"/>
    <s v="Navdeep Singh"/>
  </r>
  <r>
    <n v="1304087"/>
    <s v="Mumbai"/>
    <d v="2022-04-28T00:00:00"/>
    <x v="7"/>
    <x v="101"/>
    <x v="27"/>
    <s v="League"/>
    <s v="Kuldeep Yadav"/>
    <s v="Kolkata Knight Riders"/>
    <s v="Delhi Capitals"/>
    <s v="Delhi Capitals"/>
    <x v="0"/>
    <x v="6"/>
    <s v="wickets"/>
    <n v="4"/>
    <n v="147"/>
    <n v="20"/>
    <s v="N"/>
    <s v="NA"/>
    <s v="AK Chaudhary"/>
    <s v="PG Pathak"/>
  </r>
  <r>
    <n v="1304088"/>
    <s v="Pune"/>
    <d v="2022-04-29T00:00:00"/>
    <x v="7"/>
    <x v="61"/>
    <x v="33"/>
    <s v="League"/>
    <s v="KH Pandya"/>
    <s v="Lucknow Super Giants"/>
    <s v="Punjab Kings"/>
    <s v="Punjab Kings"/>
    <x v="0"/>
    <x v="12"/>
    <s v="runs"/>
    <n v="20"/>
    <n v="154"/>
    <n v="20"/>
    <s v="N"/>
    <s v="NA"/>
    <s v="MA Gough"/>
    <s v="UV Gandhe"/>
  </r>
  <r>
    <n v="1304089"/>
    <s v="Mumbai"/>
    <d v="2022-04-30T00:00:00"/>
    <x v="7"/>
    <x v="122"/>
    <x v="31"/>
    <s v="League"/>
    <s v="R Tewatia"/>
    <s v="Royal Challengers Bangalore"/>
    <s v="Gujarat Titans"/>
    <s v="Royal Challengers Bangalore"/>
    <x v="1"/>
    <x v="10"/>
    <s v="wickets"/>
    <n v="6"/>
    <n v="171"/>
    <n v="20"/>
    <s v="N"/>
    <s v="NA"/>
    <s v="HAS Khalid"/>
    <s v="VK Sharma"/>
  </r>
  <r>
    <n v="1304090"/>
    <s v="Navi Mumbai"/>
    <d v="2022-04-30T00:00:00"/>
    <x v="7"/>
    <x v="51"/>
    <x v="32"/>
    <s v="League"/>
    <s v="SA Yadav"/>
    <s v="Rajasthan Royals"/>
    <s v="Mumbai Indians"/>
    <s v="Mumbai Indians"/>
    <x v="0"/>
    <x v="7"/>
    <s v="wickets"/>
    <n v="5"/>
    <n v="159"/>
    <n v="20"/>
    <s v="N"/>
    <s v="NA"/>
    <s v="BNJ Oxenford"/>
    <s v="YC Barde"/>
  </r>
  <r>
    <n v="1304091"/>
    <s v="Mumbai"/>
    <d v="2022-05-01T00:00:00"/>
    <x v="7"/>
    <x v="152"/>
    <x v="27"/>
    <s v="League"/>
    <s v="Mohsin Khan"/>
    <s v="Lucknow Super Giants"/>
    <s v="Delhi Capitals"/>
    <s v="Lucknow Super Giants"/>
    <x v="1"/>
    <x v="12"/>
    <s v="runs"/>
    <n v="6"/>
    <n v="196"/>
    <n v="20"/>
    <s v="N"/>
    <s v="NA"/>
    <s v="Chirra Ravikanthreddy"/>
    <s v="CB Gaffaney"/>
  </r>
  <r>
    <n v="1304092"/>
    <s v="Pune"/>
    <d v="2022-05-01T00:00:00"/>
    <x v="7"/>
    <x v="127"/>
    <x v="33"/>
    <s v="League"/>
    <s v="RD Gaikwad"/>
    <s v="Chennai Super Kings"/>
    <s v="Sunrisers Hyderabad"/>
    <s v="Sunrisers Hyderabad"/>
    <x v="0"/>
    <x v="1"/>
    <s v="runs"/>
    <n v="13"/>
    <n v="203"/>
    <n v="20"/>
    <s v="N"/>
    <s v="NA"/>
    <s v="AK Chaudhary"/>
    <s v="KN Ananthapadmanabhan"/>
  </r>
  <r>
    <n v="1304093"/>
    <s v="Mumbai"/>
    <d v="2022-05-02T00:00:00"/>
    <x v="7"/>
    <x v="153"/>
    <x v="27"/>
    <s v="League"/>
    <s v="RK Singh"/>
    <s v="Rajasthan Royals"/>
    <s v="Kolkata Knight Riders"/>
    <s v="Kolkata Knight Riders"/>
    <x v="0"/>
    <x v="0"/>
    <s v="wickets"/>
    <n v="7"/>
    <n v="153"/>
    <n v="20"/>
    <s v="N"/>
    <s v="NA"/>
    <s v="J Madanagopal"/>
    <s v="N Pandit"/>
  </r>
  <r>
    <n v="1304094"/>
    <s v="Navi Mumbai"/>
    <d v="2022-05-03T00:00:00"/>
    <x v="7"/>
    <x v="109"/>
    <x v="32"/>
    <s v="League"/>
    <s v="K Rabada"/>
    <s v="Gujarat Titans"/>
    <s v="Punjab Kings"/>
    <s v="Gujarat Titans"/>
    <x v="1"/>
    <x v="11"/>
    <s v="wickets"/>
    <n v="8"/>
    <n v="144"/>
    <n v="20"/>
    <s v="N"/>
    <s v="NA"/>
    <s v="R Pandit"/>
    <s v="VK Sharma"/>
  </r>
  <r>
    <n v="1304095"/>
    <s v="Pune"/>
    <d v="2022-05-04T00:00:00"/>
    <x v="7"/>
    <x v="89"/>
    <x v="33"/>
    <s v="League"/>
    <s v="HV Patel"/>
    <s v="Royal Challengers Bangalore"/>
    <s v="Chennai Super Kings"/>
    <s v="Chennai Super Kings"/>
    <x v="0"/>
    <x v="3"/>
    <s v="runs"/>
    <n v="13"/>
    <n v="174"/>
    <n v="20"/>
    <s v="N"/>
    <s v="NA"/>
    <s v="KN Ananthapadmanabhan"/>
    <s v="MA Gough"/>
  </r>
  <r>
    <n v="1304096"/>
    <s v="Mumbai"/>
    <d v="2022-05-05T00:00:00"/>
    <x v="7"/>
    <x v="7"/>
    <x v="31"/>
    <s v="League"/>
    <s v="DA Warner"/>
    <s v="Delhi Capitals"/>
    <s v="Sunrisers Hyderabad"/>
    <s v="Sunrisers Hyderabad"/>
    <x v="0"/>
    <x v="6"/>
    <s v="runs"/>
    <n v="21"/>
    <n v="208"/>
    <n v="20"/>
    <s v="N"/>
    <s v="NA"/>
    <s v="Navdeep Singh"/>
    <s v="NA Patwardhan"/>
  </r>
  <r>
    <n v="1304097"/>
    <s v="Mumbai"/>
    <d v="2022-05-06T00:00:00"/>
    <x v="7"/>
    <x v="154"/>
    <x v="31"/>
    <s v="League"/>
    <s v="TH David"/>
    <s v="Mumbai Indians"/>
    <s v="Gujarat Titans"/>
    <s v="Gujarat Titans"/>
    <x v="0"/>
    <x v="7"/>
    <s v="runs"/>
    <n v="5"/>
    <n v="178"/>
    <n v="20"/>
    <s v="N"/>
    <s v="NA"/>
    <s v="J Madanagopal"/>
    <s v="GR Sadashiv Iyer"/>
  </r>
  <r>
    <n v="1304098"/>
    <s v="Mumbai"/>
    <d v="2022-05-07T00:00:00"/>
    <x v="7"/>
    <x v="155"/>
    <x v="27"/>
    <s v="League"/>
    <s v="YBK Jaiswal"/>
    <s v="Punjab Kings"/>
    <s v="Rajasthan Royals"/>
    <s v="Punjab Kings"/>
    <x v="1"/>
    <x v="2"/>
    <s v="wickets"/>
    <n v="6"/>
    <n v="190"/>
    <n v="20"/>
    <s v="N"/>
    <s v="NA"/>
    <s v="Chirra Ravikanthreddy"/>
    <s v="YC Barde"/>
  </r>
  <r>
    <n v="1304099"/>
    <s v="Pune"/>
    <d v="2022-05-07T00:00:00"/>
    <x v="7"/>
    <x v="143"/>
    <x v="33"/>
    <s v="League"/>
    <s v="Avesh Khan"/>
    <s v="Lucknow Super Giants"/>
    <s v="Kolkata Knight Riders"/>
    <s v="Kolkata Knight Riders"/>
    <x v="0"/>
    <x v="12"/>
    <s v="runs"/>
    <n v="75"/>
    <n v="177"/>
    <n v="20"/>
    <s v="N"/>
    <s v="NA"/>
    <s v="AK Chaudhary"/>
    <s v="MA Gough"/>
  </r>
  <r>
    <n v="1304100"/>
    <s v="Mumbai"/>
    <d v="2022-05-08T00:00:00"/>
    <x v="7"/>
    <x v="140"/>
    <x v="27"/>
    <s v="League"/>
    <s v="PWH de Silva"/>
    <s v="Royal Challengers Bangalore"/>
    <s v="Sunrisers Hyderabad"/>
    <s v="Royal Challengers Bangalore"/>
    <x v="1"/>
    <x v="3"/>
    <s v="runs"/>
    <n v="67"/>
    <n v="193"/>
    <n v="20"/>
    <s v="N"/>
    <s v="NA"/>
    <s v="BNJ Oxenford"/>
    <s v="N Pandit"/>
  </r>
  <r>
    <n v="1304101"/>
    <s v="Navi Mumbai"/>
    <d v="2022-05-08T00:00:00"/>
    <x v="7"/>
    <x v="156"/>
    <x v="32"/>
    <s v="League"/>
    <s v="DP Conway"/>
    <s v="Chennai Super Kings"/>
    <s v="Delhi Capitals"/>
    <s v="Delhi Capitals"/>
    <x v="0"/>
    <x v="1"/>
    <s v="runs"/>
    <n v="91"/>
    <n v="209"/>
    <n v="20"/>
    <s v="N"/>
    <s v="NA"/>
    <s v="Nitin Menon"/>
    <s v="R Pandit"/>
  </r>
  <r>
    <n v="1304102"/>
    <s v="Navi Mumbai"/>
    <d v="2022-05-09T00:00:00"/>
    <x v="7"/>
    <x v="73"/>
    <x v="32"/>
    <s v="League"/>
    <s v="JJ Bumrah"/>
    <s v="Kolkata Knight Riders"/>
    <s v="Mumbai Indians"/>
    <s v="Mumbai Indians"/>
    <x v="0"/>
    <x v="0"/>
    <s v="runs"/>
    <n v="52"/>
    <n v="166"/>
    <n v="20"/>
    <s v="N"/>
    <s v="NA"/>
    <s v="CB Gaffaney"/>
    <s v="GR Sadashiv Iyer"/>
  </r>
  <r>
    <n v="1304103"/>
    <s v="Pune"/>
    <d v="2022-05-10T00:00:00"/>
    <x v="7"/>
    <x v="116"/>
    <x v="33"/>
    <s v="League"/>
    <s v="Shubman Gill"/>
    <s v="Gujarat Titans"/>
    <s v="Lucknow Super Giants"/>
    <s v="Gujarat Titans"/>
    <x v="1"/>
    <x v="10"/>
    <s v="runs"/>
    <n v="62"/>
    <n v="145"/>
    <n v="20"/>
    <s v="N"/>
    <s v="NA"/>
    <s v="KN Ananthapadmanabhan"/>
    <s v="MA Gough"/>
  </r>
  <r>
    <n v="1304104"/>
    <s v="Navi Mumbai"/>
    <d v="2022-05-11T00:00:00"/>
    <x v="7"/>
    <x v="157"/>
    <x v="32"/>
    <s v="League"/>
    <s v="MR Marsh"/>
    <s v="Rajasthan Royals"/>
    <s v="Delhi Capitals"/>
    <s v="Delhi Capitals"/>
    <x v="0"/>
    <x v="6"/>
    <s v="wickets"/>
    <n v="8"/>
    <n v="161"/>
    <n v="20"/>
    <s v="N"/>
    <s v="NA"/>
    <s v="NA Patwardhan"/>
    <s v="Nitin Menon"/>
  </r>
  <r>
    <n v="1304105"/>
    <s v="Mumbai"/>
    <d v="2022-05-12T00:00:00"/>
    <x v="7"/>
    <x v="158"/>
    <x v="27"/>
    <s v="League"/>
    <s v="DR Sams"/>
    <s v="Chennai Super Kings"/>
    <s v="Mumbai Indians"/>
    <s v="Mumbai Indians"/>
    <x v="0"/>
    <x v="7"/>
    <s v="wickets"/>
    <n v="5"/>
    <n v="98"/>
    <n v="20"/>
    <s v="N"/>
    <s v="NA"/>
    <s v="Chirra Ravikanthreddy"/>
    <s v="CB Gaffaney"/>
  </r>
  <r>
    <n v="1304106"/>
    <s v="Mumbai"/>
    <d v="2022-05-13T00:00:00"/>
    <x v="7"/>
    <x v="106"/>
    <x v="31"/>
    <s v="League"/>
    <s v="JM Bairstow"/>
    <s v="Punjab Kings"/>
    <s v="Royal Challengers Bangalore"/>
    <s v="Royal Challengers Bangalore"/>
    <x v="0"/>
    <x v="11"/>
    <s v="runs"/>
    <n v="54"/>
    <n v="210"/>
    <n v="20"/>
    <s v="N"/>
    <s v="NA"/>
    <s v="J Madanagopal"/>
    <s v="N Pandit"/>
  </r>
  <r>
    <n v="1304107"/>
    <s v="Pune"/>
    <d v="2022-05-14T00:00:00"/>
    <x v="7"/>
    <x v="12"/>
    <x v="33"/>
    <s v="League"/>
    <s v="AD Russell"/>
    <s v="Kolkata Knight Riders"/>
    <s v="Sunrisers Hyderabad"/>
    <s v="Kolkata Knight Riders"/>
    <x v="1"/>
    <x v="0"/>
    <s v="runs"/>
    <n v="54"/>
    <n v="178"/>
    <n v="20"/>
    <s v="N"/>
    <s v="NA"/>
    <s v="AK Chaudhary"/>
    <s v="KN Ananthapadmanabhan"/>
  </r>
  <r>
    <n v="1304108"/>
    <s v="Mumbai"/>
    <d v="2022-05-15T00:00:00"/>
    <x v="7"/>
    <x v="87"/>
    <x v="27"/>
    <s v="League"/>
    <s v="WP Saha"/>
    <s v="Chennai Super Kings"/>
    <s v="Gujarat Titans"/>
    <s v="Chennai Super Kings"/>
    <x v="1"/>
    <x v="10"/>
    <s v="wickets"/>
    <n v="7"/>
    <n v="134"/>
    <n v="20"/>
    <s v="N"/>
    <s v="NA"/>
    <s v="R Pandit"/>
    <s v="VK Sharma"/>
  </r>
  <r>
    <n v="1304109"/>
    <s v="Mumbai"/>
    <d v="2022-05-15T00:00:00"/>
    <x v="7"/>
    <x v="21"/>
    <x v="31"/>
    <s v="League"/>
    <s v="TA Boult"/>
    <s v="Rajasthan Royals"/>
    <s v="Lucknow Super Giants"/>
    <s v="Rajasthan Royals"/>
    <x v="1"/>
    <x v="2"/>
    <s v="runs"/>
    <n v="24"/>
    <n v="179"/>
    <n v="20"/>
    <s v="N"/>
    <s v="NA"/>
    <s v="PG Pathak"/>
    <s v="Tapan Sharma"/>
  </r>
  <r>
    <n v="1304110"/>
    <s v="Navi Mumbai"/>
    <d v="2022-05-16T00:00:00"/>
    <x v="7"/>
    <x v="159"/>
    <x v="32"/>
    <s v="League"/>
    <s v="SN Thakur"/>
    <s v="Delhi Capitals"/>
    <s v="Punjab Kings"/>
    <s v="Punjab Kings"/>
    <x v="0"/>
    <x v="6"/>
    <s v="runs"/>
    <n v="17"/>
    <n v="160"/>
    <n v="20"/>
    <s v="N"/>
    <s v="NA"/>
    <s v="GR Sadashiv Iyer"/>
    <s v="Nitin Menon"/>
  </r>
  <r>
    <n v="1304111"/>
    <s v="Mumbai"/>
    <d v="2022-05-17T00:00:00"/>
    <x v="7"/>
    <x v="83"/>
    <x v="27"/>
    <s v="League"/>
    <s v="RA Tripathi"/>
    <s v="Sunrisers Hyderabad"/>
    <s v="Mumbai Indians"/>
    <s v="Mumbai Indians"/>
    <x v="0"/>
    <x v="5"/>
    <s v="runs"/>
    <n v="3"/>
    <n v="194"/>
    <n v="20"/>
    <s v="N"/>
    <s v="NA"/>
    <s v="CB Gaffaney"/>
    <s v="N Pandit"/>
  </r>
  <r>
    <n v="1304112"/>
    <s v="Navi Mumbai"/>
    <d v="2022-05-18T00:00:00"/>
    <x v="7"/>
    <x v="46"/>
    <x v="32"/>
    <s v="League"/>
    <s v="Q de Kock"/>
    <s v="Lucknow Super Giants"/>
    <s v="Kolkata Knight Riders"/>
    <s v="Lucknow Super Giants"/>
    <x v="1"/>
    <x v="12"/>
    <s v="runs"/>
    <n v="2"/>
    <n v="211"/>
    <n v="20"/>
    <s v="N"/>
    <s v="NA"/>
    <s v="R Pandit"/>
    <s v="YC Barde"/>
  </r>
  <r>
    <n v="1304113"/>
    <s v="Mumbai"/>
    <d v="2022-05-19T00:00:00"/>
    <x v="7"/>
    <x v="36"/>
    <x v="27"/>
    <s v="League"/>
    <s v="V Kohli"/>
    <s v="Gujarat Titans"/>
    <s v="Royal Challengers Bangalore"/>
    <s v="Gujarat Titans"/>
    <x v="1"/>
    <x v="3"/>
    <s v="wickets"/>
    <n v="8"/>
    <n v="169"/>
    <n v="20"/>
    <s v="N"/>
    <s v="NA"/>
    <s v="KN Ananthapadmanabhan"/>
    <s v="GR Sadashiv Iyer"/>
  </r>
  <r>
    <n v="1304114"/>
    <s v="Mumbai"/>
    <d v="2022-05-20T00:00:00"/>
    <x v="7"/>
    <x v="114"/>
    <x v="31"/>
    <s v="League"/>
    <s v="R Ashwin"/>
    <s v="Chennai Super Kings"/>
    <s v="Rajasthan Royals"/>
    <s v="Chennai Super Kings"/>
    <x v="1"/>
    <x v="2"/>
    <s v="wickets"/>
    <n v="5"/>
    <n v="151"/>
    <n v="20"/>
    <s v="N"/>
    <s v="NA"/>
    <s v="CB Gaffaney"/>
    <s v="NA Patwardhan"/>
  </r>
  <r>
    <n v="1304115"/>
    <s v="Mumbai"/>
    <d v="2022-05-21T00:00:00"/>
    <x v="7"/>
    <x v="73"/>
    <x v="27"/>
    <s v="League"/>
    <s v="JJ Bumrah"/>
    <s v="Delhi Capitals"/>
    <s v="Mumbai Indians"/>
    <s v="Mumbai Indians"/>
    <x v="0"/>
    <x v="7"/>
    <s v="wickets"/>
    <n v="5"/>
    <n v="160"/>
    <n v="20"/>
    <s v="N"/>
    <s v="NA"/>
    <s v="Nitin Menon"/>
    <s v="Tapan Sharma"/>
  </r>
  <r>
    <n v="1304116"/>
    <s v="Mumbai"/>
    <d v="2022-05-22T00:00:00"/>
    <x v="7"/>
    <x v="133"/>
    <x v="27"/>
    <s v="League"/>
    <s v="Harpreet Brar"/>
    <s v="Sunrisers Hyderabad"/>
    <s v="Punjab Kings"/>
    <s v="Sunrisers Hyderabad"/>
    <x v="1"/>
    <x v="11"/>
    <s v="wickets"/>
    <n v="5"/>
    <n v="158"/>
    <n v="20"/>
    <s v="N"/>
    <s v="NA"/>
    <s v="AK Chaudhary"/>
    <s v="NA Patwardhan"/>
  </r>
  <r>
    <n v="1312197"/>
    <s v="Kolkata"/>
    <d v="2022-05-24T00:00:00"/>
    <x v="7"/>
    <x v="148"/>
    <x v="34"/>
    <s v="Qualifier 1"/>
    <s v="DA Miller"/>
    <s v="Rajasthan Royals"/>
    <s v="Gujarat Titans"/>
    <s v="Gujarat Titans"/>
    <x v="0"/>
    <x v="10"/>
    <s v="wickets"/>
    <n v="7"/>
    <n v="189"/>
    <n v="20"/>
    <s v="N"/>
    <s v="NA"/>
    <s v="BNJ Oxenford"/>
    <s v="VK Sharma"/>
  </r>
  <r>
    <n v="1312198"/>
    <s v="Kolkata"/>
    <d v="2022-05-25T00:00:00"/>
    <x v="7"/>
    <x v="160"/>
    <x v="34"/>
    <s v="Eliminator"/>
    <s v="RM Patidar"/>
    <s v="Royal Challengers Bangalore"/>
    <s v="Lucknow Super Giants"/>
    <s v="Lucknow Super Giants"/>
    <x v="0"/>
    <x v="3"/>
    <s v="runs"/>
    <n v="14"/>
    <n v="208"/>
    <n v="20"/>
    <s v="N"/>
    <s v="NA"/>
    <s v="J Madanagopal"/>
    <s v="MA Gough"/>
  </r>
  <r>
    <n v="1312199"/>
    <s v="Ahmedabad"/>
    <d v="2022-05-27T00:00:00"/>
    <x v="7"/>
    <x v="79"/>
    <x v="28"/>
    <s v="Qualifier 2"/>
    <s v="JC Buttler"/>
    <s v="Royal Challengers Bangalore"/>
    <s v="Rajasthan Royals"/>
    <s v="Rajasthan Royals"/>
    <x v="0"/>
    <x v="2"/>
    <s v="wickets"/>
    <n v="7"/>
    <n v="158"/>
    <n v="20"/>
    <s v="N"/>
    <s v="NA"/>
    <s v="CB Gaffaney"/>
    <s v="Nitin Menon"/>
  </r>
  <r>
    <n v="1312200"/>
    <s v="Ahmedabad"/>
    <d v="2022-05-29T00:00:00"/>
    <x v="7"/>
    <x v="30"/>
    <x v="28"/>
    <s v="Final"/>
    <s v="HH Pandya"/>
    <s v="Rajasthan Royals"/>
    <s v="Gujarat Titans"/>
    <s v="Rajasthan Royals"/>
    <x v="1"/>
    <x v="10"/>
    <s v="wickets"/>
    <n v="7"/>
    <n v="131"/>
    <n v="20"/>
    <s v="N"/>
    <s v="NA"/>
    <s v="CB Gaffaney"/>
    <s v="Nitin Menon"/>
  </r>
  <r>
    <n v="1359475"/>
    <s v="Ahmedabad"/>
    <d v="2023-03-31T00:00:00"/>
    <x v="8"/>
    <x v="71"/>
    <x v="28"/>
    <s v="League"/>
    <s v="Rashid Khan"/>
    <s v="Chennai Super Kings"/>
    <s v="Gujarat Titans"/>
    <s v="Gujarat Titans"/>
    <x v="0"/>
    <x v="10"/>
    <s v="wickets"/>
    <n v="5"/>
    <n v="179"/>
    <n v="20"/>
    <s v="N"/>
    <s v="NA"/>
    <s v="Nitin Menon"/>
    <s v="HAS Khalid"/>
  </r>
  <r>
    <n v="1359476"/>
    <s v="Chandigarh"/>
    <d v="2023-04-01T00:00:00"/>
    <x v="8"/>
    <x v="161"/>
    <x v="35"/>
    <s v="League"/>
    <s v="Arshdeep Singh"/>
    <s v="Punjab Kings"/>
    <s v="Kolkata Knight Riders"/>
    <s v="Kolkata Knight Riders"/>
    <x v="0"/>
    <x v="11"/>
    <s v="runs"/>
    <n v="7"/>
    <n v="154"/>
    <n v="16"/>
    <s v="N"/>
    <s v="D/L"/>
    <s v="BNJ Oxenford"/>
    <s v="YC Barde"/>
  </r>
  <r>
    <n v="1359477"/>
    <s v="Lucknow"/>
    <d v="2023-04-01T00:00:00"/>
    <x v="8"/>
    <x v="162"/>
    <x v="36"/>
    <s v="League"/>
    <s v="MA Wood"/>
    <s v="Lucknow Super Giants"/>
    <s v="Delhi Capitals"/>
    <s v="Delhi Capitals"/>
    <x v="0"/>
    <x v="12"/>
    <s v="runs"/>
    <n v="50"/>
    <n v="194"/>
    <n v="20"/>
    <s v="N"/>
    <s v="NA"/>
    <s v="AK Chaudhary"/>
    <s v="NA Patwardhan"/>
  </r>
  <r>
    <n v="1359478"/>
    <s v="Hyderabad"/>
    <d v="2023-04-02T00:00:00"/>
    <x v="8"/>
    <x v="79"/>
    <x v="37"/>
    <s v="League"/>
    <s v="JC Buttler"/>
    <s v="Rajasthan Royals"/>
    <s v="Sunrisers Hyderabad"/>
    <s v="Sunrisers Hyderabad"/>
    <x v="0"/>
    <x v="2"/>
    <s v="runs"/>
    <n v="72"/>
    <n v="204"/>
    <n v="20"/>
    <s v="N"/>
    <s v="NA"/>
    <s v="KN Ananthapadmanabhan"/>
    <s v="R Pandit"/>
  </r>
  <r>
    <n v="1359479"/>
    <s v="Bengaluru"/>
    <d v="2023-04-02T00:00:00"/>
    <x v="8"/>
    <x v="104"/>
    <x v="38"/>
    <s v="League"/>
    <s v="F du Plessis"/>
    <s v="Mumbai Indians"/>
    <s v="Royal Challengers Bangalore"/>
    <s v="Royal Challengers Bangalore"/>
    <x v="0"/>
    <x v="3"/>
    <s v="wickets"/>
    <n v="8"/>
    <n v="172"/>
    <n v="20"/>
    <s v="N"/>
    <s v="NA"/>
    <s v="Nitin Menon"/>
    <s v="Tapan Sharma"/>
  </r>
  <r>
    <n v="1359480"/>
    <s v="Chennai"/>
    <d v="2023-04-03T00:00:00"/>
    <x v="8"/>
    <x v="131"/>
    <x v="26"/>
    <s v="League"/>
    <s v="MM Ali"/>
    <s v="Chennai Super Kings"/>
    <s v="Lucknow Super Giants"/>
    <s v="Lucknow Super Giants"/>
    <x v="0"/>
    <x v="1"/>
    <s v="runs"/>
    <n v="12"/>
    <n v="218"/>
    <n v="20"/>
    <s v="N"/>
    <s v="NA"/>
    <s v="A Totre"/>
    <s v="BNJ Oxenford"/>
  </r>
  <r>
    <n v="1359481"/>
    <s v="Delhi"/>
    <d v="2023-04-04T00:00:00"/>
    <x v="8"/>
    <x v="163"/>
    <x v="29"/>
    <s v="League"/>
    <s v="B Sai Sudharsan"/>
    <s v="Delhi Capitals"/>
    <s v="Gujarat Titans"/>
    <s v="Gujarat Titans"/>
    <x v="0"/>
    <x v="10"/>
    <s v="wickets"/>
    <n v="6"/>
    <n v="163"/>
    <n v="20"/>
    <s v="N"/>
    <s v="NA"/>
    <s v="A Nand Kishore"/>
    <s v="GR Sadashiv Iyer"/>
  </r>
  <r>
    <n v="1359482"/>
    <s v="Guwahati"/>
    <d v="2023-04-05T00:00:00"/>
    <x v="8"/>
    <x v="164"/>
    <x v="39"/>
    <s v="League"/>
    <s v="NT Ellis"/>
    <s v="Punjab Kings"/>
    <s v="Rajasthan Royals"/>
    <s v="Rajasthan Royals"/>
    <x v="0"/>
    <x v="11"/>
    <s v="runs"/>
    <n v="5"/>
    <n v="198"/>
    <n v="20"/>
    <s v="N"/>
    <s v="NA"/>
    <s v="KN Ananthapadmanabhan"/>
    <s v="MV Saidharshan Kumar"/>
  </r>
  <r>
    <n v="1359483"/>
    <s v="Kolkata"/>
    <d v="2023-04-06T00:00:00"/>
    <x v="8"/>
    <x v="159"/>
    <x v="34"/>
    <s v="League"/>
    <s v="SN Thakur"/>
    <s v="Kolkata Knight Riders"/>
    <s v="Royal Challengers Bangalore"/>
    <s v="Royal Challengers Bangalore"/>
    <x v="0"/>
    <x v="0"/>
    <s v="runs"/>
    <n v="81"/>
    <n v="205"/>
    <n v="20"/>
    <s v="N"/>
    <s v="NA"/>
    <s v="Vinod Seshan"/>
    <s v="VK Sharma"/>
  </r>
  <r>
    <n v="1359484"/>
    <s v="Lucknow"/>
    <d v="2023-04-07T00:00:00"/>
    <x v="8"/>
    <x v="61"/>
    <x v="36"/>
    <s v="League"/>
    <s v="KH Pandya"/>
    <s v="Sunrisers Hyderabad"/>
    <s v="Lucknow Super Giants"/>
    <s v="Sunrisers Hyderabad"/>
    <x v="1"/>
    <x v="12"/>
    <s v="wickets"/>
    <n v="5"/>
    <n v="122"/>
    <n v="20"/>
    <s v="N"/>
    <s v="NA"/>
    <s v="J Madanagopal"/>
    <s v="YC Barde"/>
  </r>
  <r>
    <n v="1359485"/>
    <s v="Guwahati"/>
    <d v="2023-04-08T00:00:00"/>
    <x v="8"/>
    <x v="155"/>
    <x v="39"/>
    <s v="League"/>
    <s v="YBK Jaiswal"/>
    <s v="Rajasthan Royals"/>
    <s v="Delhi Capitals"/>
    <s v="Delhi Capitals"/>
    <x v="0"/>
    <x v="2"/>
    <s v="runs"/>
    <n v="57"/>
    <n v="200"/>
    <n v="20"/>
    <s v="N"/>
    <s v="NA"/>
    <s v="Navdeep Singh"/>
    <s v="MV Saidharshan Kumar"/>
  </r>
  <r>
    <n v="1359486"/>
    <s v="Mumbai"/>
    <d v="2023-04-08T00:00:00"/>
    <x v="8"/>
    <x v="33"/>
    <x v="27"/>
    <s v="League"/>
    <s v="RA Jadeja"/>
    <s v="Mumbai Indians"/>
    <s v="Chennai Super Kings"/>
    <s v="Chennai Super Kings"/>
    <x v="0"/>
    <x v="1"/>
    <s v="wickets"/>
    <n v="7"/>
    <n v="158"/>
    <n v="20"/>
    <s v="N"/>
    <s v="NA"/>
    <s v="CB Gaffaney"/>
    <s v="NA Patwardhan"/>
  </r>
  <r>
    <n v="1359487"/>
    <s v="Ahmedabad"/>
    <d v="2023-04-09T00:00:00"/>
    <x v="8"/>
    <x v="153"/>
    <x v="28"/>
    <s v="League"/>
    <s v="RK Singh"/>
    <s v="Gujarat Titans"/>
    <s v="Kolkata Knight Riders"/>
    <s v="Gujarat Titans"/>
    <x v="1"/>
    <x v="0"/>
    <s v="wickets"/>
    <n v="3"/>
    <n v="205"/>
    <n v="20"/>
    <s v="N"/>
    <s v="NA"/>
    <s v="Nitin Menon"/>
    <s v="Tapan Sharma"/>
  </r>
  <r>
    <n v="1359488"/>
    <s v="Hyderabad"/>
    <d v="2023-04-09T00:00:00"/>
    <x v="8"/>
    <x v="85"/>
    <x v="37"/>
    <s v="League"/>
    <s v="S Dhawan"/>
    <s v="Punjab Kings"/>
    <s v="Sunrisers Hyderabad"/>
    <s v="Sunrisers Hyderabad"/>
    <x v="0"/>
    <x v="5"/>
    <s v="wickets"/>
    <n v="8"/>
    <n v="144"/>
    <n v="20"/>
    <s v="N"/>
    <s v="NA"/>
    <s v="BNJ Oxenford"/>
    <s v="UV Gandhe"/>
  </r>
  <r>
    <n v="1359489"/>
    <s v="Bengaluru"/>
    <d v="2023-04-10T00:00:00"/>
    <x v="8"/>
    <x v="165"/>
    <x v="38"/>
    <s v="League"/>
    <s v="N Pooran"/>
    <s v="Royal Challengers Bangalore"/>
    <s v="Lucknow Super Giants"/>
    <s v="Lucknow Super Giants"/>
    <x v="0"/>
    <x v="12"/>
    <s v="wickets"/>
    <n v="1"/>
    <n v="213"/>
    <n v="20"/>
    <s v="N"/>
    <s v="NA"/>
    <s v="AK Chaudhary"/>
    <s v="A Nand Kishore"/>
  </r>
  <r>
    <n v="1359490"/>
    <s v="Delhi"/>
    <d v="2023-04-11T00:00:00"/>
    <x v="8"/>
    <x v="41"/>
    <x v="29"/>
    <s v="League"/>
    <s v="RG Sharma"/>
    <s v="Delhi Capitals"/>
    <s v="Mumbai Indians"/>
    <s v="Mumbai Indians"/>
    <x v="0"/>
    <x v="7"/>
    <s v="wickets"/>
    <n v="6"/>
    <n v="173"/>
    <n v="20"/>
    <s v="N"/>
    <s v="NA"/>
    <s v="MA Gough"/>
    <s v="R Pandit"/>
  </r>
  <r>
    <n v="1359491"/>
    <s v="Chennai"/>
    <d v="2023-04-12T00:00:00"/>
    <x v="8"/>
    <x v="114"/>
    <x v="26"/>
    <s v="League"/>
    <s v="R Ashwin"/>
    <s v="Rajasthan Royals"/>
    <s v="Chennai Super Kings"/>
    <s v="Chennai Super Kings"/>
    <x v="0"/>
    <x v="2"/>
    <s v="runs"/>
    <n v="3"/>
    <n v="176"/>
    <n v="20"/>
    <s v="N"/>
    <s v="NA"/>
    <s v="Vinod Seshan"/>
    <s v="VK Sharma"/>
  </r>
  <r>
    <n v="1359492"/>
    <s v="Chandigarh"/>
    <d v="2023-04-13T00:00:00"/>
    <x v="8"/>
    <x v="86"/>
    <x v="35"/>
    <s v="League"/>
    <s v="MM Sharma"/>
    <s v="Punjab Kings"/>
    <s v="Gujarat Titans"/>
    <s v="Gujarat Titans"/>
    <x v="0"/>
    <x v="10"/>
    <s v="wickets"/>
    <n v="6"/>
    <n v="154"/>
    <n v="20"/>
    <s v="N"/>
    <s v="NA"/>
    <s v="A Totre"/>
    <s v="J Madanagopal"/>
  </r>
  <r>
    <n v="1359493"/>
    <s v="Kolkata"/>
    <d v="2023-04-14T00:00:00"/>
    <x v="8"/>
    <x v="166"/>
    <x v="34"/>
    <s v="League"/>
    <s v="HC Brook"/>
    <s v="Sunrisers Hyderabad"/>
    <s v="Kolkata Knight Riders"/>
    <s v="Kolkata Knight Riders"/>
    <x v="0"/>
    <x v="5"/>
    <s v="runs"/>
    <n v="23"/>
    <n v="229"/>
    <n v="20"/>
    <s v="N"/>
    <s v="NA"/>
    <s v="CB Gaffaney"/>
    <s v="GR Sadashiv Iyer"/>
  </r>
  <r>
    <n v="1359494"/>
    <s v="Bengaluru"/>
    <d v="2023-04-15T00:00:00"/>
    <x v="8"/>
    <x v="36"/>
    <x v="38"/>
    <s v="League"/>
    <s v="V Kohli"/>
    <s v="Royal Challengers Bangalore"/>
    <s v="Delhi Capitals"/>
    <s v="Delhi Capitals"/>
    <x v="0"/>
    <x v="3"/>
    <s v="runs"/>
    <n v="23"/>
    <n v="175"/>
    <n v="20"/>
    <s v="N"/>
    <s v="NA"/>
    <s v="KN Ananthapadmanabhan"/>
    <s v="MV Saidharshan Kumar"/>
  </r>
  <r>
    <n v="1359495"/>
    <s v="Lucknow"/>
    <d v="2023-04-15T00:00:00"/>
    <x v="8"/>
    <x v="167"/>
    <x v="36"/>
    <s v="League"/>
    <s v="Sikandar Raza"/>
    <s v="Lucknow Super Giants"/>
    <s v="Punjab Kings"/>
    <s v="Punjab Kings"/>
    <x v="0"/>
    <x v="11"/>
    <s v="wickets"/>
    <n v="2"/>
    <n v="160"/>
    <n v="20"/>
    <s v="N"/>
    <s v="NA"/>
    <s v="HAS Khalid"/>
    <s v="VK Sharma"/>
  </r>
  <r>
    <n v="1359496"/>
    <s v="Mumbai"/>
    <d v="2023-04-16T00:00:00"/>
    <x v="8"/>
    <x v="138"/>
    <x v="27"/>
    <s v="League"/>
    <s v="VR Iyer"/>
    <s v="Kolkata Knight Riders"/>
    <s v="Mumbai Indians"/>
    <s v="Mumbai Indians"/>
    <x v="0"/>
    <x v="7"/>
    <s v="wickets"/>
    <n v="5"/>
    <n v="186"/>
    <n v="20"/>
    <s v="N"/>
    <s v="NA"/>
    <s v="BNJ Oxenford"/>
    <s v="UV Gandhe"/>
  </r>
  <r>
    <n v="1359497"/>
    <s v="Ahmedabad"/>
    <d v="2023-04-16T00:00:00"/>
    <x v="8"/>
    <x v="117"/>
    <x v="28"/>
    <s v="League"/>
    <s v="SO Hetmyer"/>
    <s v="Gujarat Titans"/>
    <s v="Rajasthan Royals"/>
    <s v="Rajasthan Royals"/>
    <x v="0"/>
    <x v="2"/>
    <s v="wickets"/>
    <n v="3"/>
    <n v="178"/>
    <n v="20"/>
    <s v="N"/>
    <s v="NA"/>
    <s v="AK Chaudhary"/>
    <s v="CB Gaffaney"/>
  </r>
  <r>
    <n v="1359498"/>
    <s v="Bengaluru"/>
    <d v="2023-04-17T00:00:00"/>
    <x v="8"/>
    <x v="156"/>
    <x v="38"/>
    <s v="League"/>
    <s v="DP Conway"/>
    <s v="Chennai Super Kings"/>
    <s v="Royal Challengers Bangalore"/>
    <s v="Royal Challengers Bangalore"/>
    <x v="0"/>
    <x v="1"/>
    <s v="runs"/>
    <n v="8"/>
    <n v="227"/>
    <n v="20"/>
    <s v="N"/>
    <s v="NA"/>
    <s v="KN Ananthapadmanabhan"/>
    <s v="Navdeep Singh"/>
  </r>
  <r>
    <n v="1359499"/>
    <s v="Hyderabad"/>
    <d v="2023-04-18T00:00:00"/>
    <x v="8"/>
    <x v="168"/>
    <x v="37"/>
    <s v="League"/>
    <s v="C Green"/>
    <s v="Mumbai Indians"/>
    <s v="Sunrisers Hyderabad"/>
    <s v="Sunrisers Hyderabad"/>
    <x v="0"/>
    <x v="7"/>
    <s v="runs"/>
    <n v="14"/>
    <n v="193"/>
    <n v="20"/>
    <s v="N"/>
    <s v="NA"/>
    <s v="Nitin Menon"/>
    <s v="Vinod Seshan"/>
  </r>
  <r>
    <n v="1359500"/>
    <s v="Jaipur"/>
    <d v="2023-04-19T00:00:00"/>
    <x v="8"/>
    <x v="58"/>
    <x v="40"/>
    <s v="League"/>
    <s v="MP Stoinis"/>
    <s v="Lucknow Super Giants"/>
    <s v="Rajasthan Royals"/>
    <s v="Rajasthan Royals"/>
    <x v="0"/>
    <x v="12"/>
    <s v="runs"/>
    <n v="10"/>
    <n v="155"/>
    <n v="20"/>
    <s v="N"/>
    <s v="NA"/>
    <s v="J Madanagopal"/>
    <s v="YC Barde"/>
  </r>
  <r>
    <n v="1359501"/>
    <s v="Chandigarh"/>
    <d v="2023-04-20T00:00:00"/>
    <x v="8"/>
    <x v="88"/>
    <x v="35"/>
    <s v="League"/>
    <s v="Mohammed Siraj"/>
    <s v="Royal Challengers Bangalore"/>
    <s v="Punjab Kings"/>
    <s v="Punjab Kings"/>
    <x v="0"/>
    <x v="3"/>
    <s v="runs"/>
    <n v="24"/>
    <n v="175"/>
    <n v="20"/>
    <s v="N"/>
    <s v="NA"/>
    <s v="AK Chaudhary"/>
    <s v="GR Sadashiv Iyer"/>
  </r>
  <r>
    <n v="1359502"/>
    <s v="Delhi"/>
    <d v="2023-04-20T00:00:00"/>
    <x v="8"/>
    <x v="169"/>
    <x v="29"/>
    <s v="League"/>
    <s v="I Sharma"/>
    <s v="Kolkata Knight Riders"/>
    <s v="Delhi Capitals"/>
    <s v="Delhi Capitals"/>
    <x v="0"/>
    <x v="6"/>
    <s v="wickets"/>
    <n v="4"/>
    <n v="128"/>
    <n v="20"/>
    <s v="N"/>
    <s v="NA"/>
    <s v="MA Gough"/>
    <s v="R Pandit"/>
  </r>
  <r>
    <n v="1359503"/>
    <s v="Chennai"/>
    <d v="2023-04-21T00:00:00"/>
    <x v="8"/>
    <x v="33"/>
    <x v="26"/>
    <s v="League"/>
    <s v="RA Jadeja"/>
    <s v="Sunrisers Hyderabad"/>
    <s v="Chennai Super Kings"/>
    <s v="Chennai Super Kings"/>
    <x v="0"/>
    <x v="1"/>
    <s v="wickets"/>
    <n v="7"/>
    <n v="135"/>
    <n v="20"/>
    <s v="N"/>
    <s v="NA"/>
    <s v="HAS Khalid"/>
    <s v="VK Sharma"/>
  </r>
  <r>
    <n v="1359504"/>
    <s v="Lucknow"/>
    <d v="2023-04-22T00:00:00"/>
    <x v="8"/>
    <x v="86"/>
    <x v="36"/>
    <s v="League"/>
    <s v="MM Sharma"/>
    <s v="Gujarat Titans"/>
    <s v="Lucknow Super Giants"/>
    <s v="Gujarat Titans"/>
    <x v="1"/>
    <x v="10"/>
    <s v="runs"/>
    <n v="7"/>
    <n v="136"/>
    <n v="20"/>
    <s v="N"/>
    <s v="NA"/>
    <s v="A Totre"/>
    <s v="RJ Tucker"/>
  </r>
  <r>
    <n v="1359505"/>
    <s v="Mumbai"/>
    <d v="2023-04-22T00:00:00"/>
    <x v="8"/>
    <x v="107"/>
    <x v="27"/>
    <s v="League"/>
    <s v="SM Curran"/>
    <s v="Punjab Kings"/>
    <s v="Mumbai Indians"/>
    <s v="Mumbai Indians"/>
    <x v="0"/>
    <x v="11"/>
    <s v="runs"/>
    <n v="13"/>
    <n v="215"/>
    <n v="20"/>
    <s v="N"/>
    <s v="NA"/>
    <s v="CB Gaffaney"/>
    <s v="GR Sadashiv Iyer"/>
  </r>
  <r>
    <n v="1359506"/>
    <s v="Bengaluru"/>
    <d v="2023-04-23T00:00:00"/>
    <x v="8"/>
    <x v="69"/>
    <x v="38"/>
    <s v="League"/>
    <s v="GJ Maxwell"/>
    <s v="Royal Challengers Bangalore"/>
    <s v="Rajasthan Royals"/>
    <s v="Rajasthan Royals"/>
    <x v="0"/>
    <x v="3"/>
    <s v="runs"/>
    <n v="7"/>
    <n v="190"/>
    <n v="20"/>
    <s v="N"/>
    <s v="NA"/>
    <s v="MA Gough"/>
    <s v="MV Saidharshan Kumar"/>
  </r>
  <r>
    <n v="1359507"/>
    <s v="Kolkata"/>
    <d v="2023-04-23T00:00:00"/>
    <x v="8"/>
    <x v="10"/>
    <x v="34"/>
    <s v="League"/>
    <s v="AM Rahane"/>
    <s v="Chennai Super Kings"/>
    <s v="Kolkata Knight Riders"/>
    <s v="Kolkata Knight Riders"/>
    <x v="0"/>
    <x v="1"/>
    <s v="runs"/>
    <n v="49"/>
    <n v="236"/>
    <n v="20"/>
    <s v="N"/>
    <s v="NA"/>
    <s v="Nitin Menon"/>
    <s v="Tapan Sharma"/>
  </r>
  <r>
    <n v="1359508"/>
    <s v="Hyderabad"/>
    <d v="2023-04-24T00:00:00"/>
    <x v="8"/>
    <x v="35"/>
    <x v="37"/>
    <s v="League"/>
    <s v="AR Patel"/>
    <s v="Delhi Capitals"/>
    <s v="Sunrisers Hyderabad"/>
    <s v="Delhi Capitals"/>
    <x v="1"/>
    <x v="6"/>
    <s v="runs"/>
    <n v="7"/>
    <n v="145"/>
    <n v="20"/>
    <s v="N"/>
    <s v="NA"/>
    <s v="J Madanagopal"/>
    <s v="RJ Tucker"/>
  </r>
  <r>
    <n v="1359509"/>
    <s v="Ahmedabad"/>
    <d v="2023-04-25T00:00:00"/>
    <x v="8"/>
    <x v="170"/>
    <x v="28"/>
    <s v="League"/>
    <s v="A Manohar"/>
    <s v="Gujarat Titans"/>
    <s v="Mumbai Indians"/>
    <s v="Mumbai Indians"/>
    <x v="0"/>
    <x v="10"/>
    <s v="runs"/>
    <n v="55"/>
    <n v="208"/>
    <n v="20"/>
    <s v="N"/>
    <s v="NA"/>
    <s v="AK Chaudhary"/>
    <s v="A Nand Kishore"/>
  </r>
  <r>
    <n v="1359510"/>
    <s v="Bengaluru"/>
    <d v="2023-04-26T00:00:00"/>
    <x v="8"/>
    <x v="125"/>
    <x v="38"/>
    <s v="League"/>
    <s v="CV Varun"/>
    <s v="Kolkata Knight Riders"/>
    <s v="Royal Challengers Bangalore"/>
    <s v="Royal Challengers Bangalore"/>
    <x v="0"/>
    <x v="0"/>
    <s v="runs"/>
    <n v="21"/>
    <n v="201"/>
    <n v="20"/>
    <s v="N"/>
    <s v="NA"/>
    <s v="KN Ananthapadmanabhan"/>
    <s v="R Pandit"/>
  </r>
  <r>
    <n v="1359511"/>
    <s v="Jaipur"/>
    <d v="2023-04-27T00:00:00"/>
    <x v="8"/>
    <x v="155"/>
    <x v="40"/>
    <s v="League"/>
    <s v="YBK Jaiswal"/>
    <s v="Rajasthan Royals"/>
    <s v="Chennai Super Kings"/>
    <s v="Rajasthan Royals"/>
    <x v="1"/>
    <x v="2"/>
    <s v="runs"/>
    <n v="32"/>
    <n v="203"/>
    <n v="20"/>
    <s v="N"/>
    <s v="NA"/>
    <s v="A Totre"/>
    <s v="YC Barde"/>
  </r>
  <r>
    <n v="1359512"/>
    <s v="Chandigarh"/>
    <d v="2023-04-28T00:00:00"/>
    <x v="8"/>
    <x v="58"/>
    <x v="35"/>
    <s v="League"/>
    <s v="MP Stoinis"/>
    <s v="Lucknow Super Giants"/>
    <s v="Punjab Kings"/>
    <s v="Punjab Kings"/>
    <x v="0"/>
    <x v="12"/>
    <s v="runs"/>
    <n v="56"/>
    <n v="258"/>
    <n v="20"/>
    <s v="N"/>
    <s v="NA"/>
    <s v="Nitin Menon"/>
    <s v="Vinod Seshan"/>
  </r>
  <r>
    <n v="1359513"/>
    <s v="Kolkata"/>
    <d v="2023-04-29T00:00:00"/>
    <x v="8"/>
    <x v="171"/>
    <x v="34"/>
    <s v="League"/>
    <s v="J Little"/>
    <s v="Kolkata Knight Riders"/>
    <s v="Gujarat Titans"/>
    <s v="Gujarat Titans"/>
    <x v="0"/>
    <x v="10"/>
    <s v="wickets"/>
    <n v="7"/>
    <n v="180"/>
    <n v="20"/>
    <s v="N"/>
    <s v="NA"/>
    <s v="NA Patwardhan"/>
    <s v="GR Sadashiv Iyer"/>
  </r>
  <r>
    <n v="1359514"/>
    <s v="Delhi"/>
    <d v="2023-04-29T00:00:00"/>
    <x v="8"/>
    <x v="157"/>
    <x v="29"/>
    <s v="League"/>
    <s v="MR Marsh"/>
    <s v="Sunrisers Hyderabad"/>
    <s v="Delhi Capitals"/>
    <s v="Sunrisers Hyderabad"/>
    <x v="1"/>
    <x v="5"/>
    <s v="runs"/>
    <n v="9"/>
    <n v="198"/>
    <n v="20"/>
    <s v="N"/>
    <s v="NA"/>
    <s v="MA Gough"/>
    <s v="Navdeep Singh"/>
  </r>
  <r>
    <n v="1359515"/>
    <s v="Chennai"/>
    <d v="2023-04-30T00:00:00"/>
    <x v="8"/>
    <x v="156"/>
    <x v="26"/>
    <s v="League"/>
    <s v="DP Conway"/>
    <s v="Chennai Super Kings"/>
    <s v="Punjab Kings"/>
    <s v="Chennai Super Kings"/>
    <x v="1"/>
    <x v="11"/>
    <s v="wickets"/>
    <n v="4"/>
    <n v="201"/>
    <n v="20"/>
    <s v="N"/>
    <s v="NA"/>
    <s v="RJ Tucker"/>
    <s v="UV Gandhe"/>
  </r>
  <r>
    <n v="1359516"/>
    <s v="Mumbai"/>
    <d v="2023-04-30T00:00:00"/>
    <x v="8"/>
    <x v="155"/>
    <x v="27"/>
    <s v="League"/>
    <s v="YBK Jaiswal"/>
    <s v="Rajasthan Royals"/>
    <s v="Mumbai Indians"/>
    <s v="Rajasthan Royals"/>
    <x v="1"/>
    <x v="7"/>
    <s v="wickets"/>
    <n v="6"/>
    <n v="213"/>
    <n v="20"/>
    <s v="N"/>
    <s v="NA"/>
    <s v="Vinod Seshan"/>
    <s v="VK Sharma"/>
  </r>
  <r>
    <n v="1359517"/>
    <s v="Lucknow"/>
    <d v="2023-05-01T00:00:00"/>
    <x v="8"/>
    <x v="104"/>
    <x v="36"/>
    <s v="League"/>
    <s v="F du Plessis"/>
    <s v="Royal Challengers Bangalore"/>
    <s v="Lucknow Super Giants"/>
    <s v="Royal Challengers Bangalore"/>
    <x v="1"/>
    <x v="3"/>
    <s v="runs"/>
    <n v="18"/>
    <n v="127"/>
    <n v="20"/>
    <s v="N"/>
    <s v="NA"/>
    <s v="AK Chaudhary"/>
    <s v="GR Sadashiv Iyer"/>
  </r>
  <r>
    <n v="1359518"/>
    <s v="Ahmedabad"/>
    <d v="2023-05-02T00:00:00"/>
    <x v="8"/>
    <x v="82"/>
    <x v="28"/>
    <s v="League"/>
    <s v="Mohammed Shami"/>
    <s v="Delhi Capitals"/>
    <s v="Gujarat Titans"/>
    <s v="Delhi Capitals"/>
    <x v="1"/>
    <x v="6"/>
    <s v="runs"/>
    <n v="5"/>
    <n v="131"/>
    <n v="20"/>
    <s v="N"/>
    <s v="NA"/>
    <s v="MA Gough"/>
    <s v="R Pandit"/>
  </r>
  <r>
    <n v="1359519"/>
    <s v="Lucknow"/>
    <d v="2023-05-03T00:00:00"/>
    <x v="8"/>
    <x v="23"/>
    <x v="36"/>
    <s v="League"/>
    <s v="NA"/>
    <s v="Lucknow Super Giants"/>
    <s v="Chennai Super Kings"/>
    <s v="Chennai Super Kings"/>
    <x v="0"/>
    <x v="8"/>
    <s v="no result"/>
    <s v="NA"/>
    <s v="NA"/>
    <s v="NA"/>
    <s v="N"/>
    <s v="NA"/>
    <s v="AK Chaudhary"/>
    <s v="NA Patwardhan"/>
  </r>
  <r>
    <n v="1359520"/>
    <s v="Chandigarh"/>
    <d v="2023-05-03T00:00:00"/>
    <x v="8"/>
    <x v="100"/>
    <x v="35"/>
    <s v="League"/>
    <s v="Ishan Kishan"/>
    <s v="Punjab Kings"/>
    <s v="Mumbai Indians"/>
    <s v="Mumbai Indians"/>
    <x v="0"/>
    <x v="7"/>
    <s v="wickets"/>
    <n v="6"/>
    <n v="215"/>
    <n v="20"/>
    <s v="N"/>
    <s v="NA"/>
    <s v="J Madanagopal"/>
    <s v="RJ Tucker"/>
  </r>
  <r>
    <n v="1359521"/>
    <s v="Hyderabad"/>
    <d v="2023-05-04T00:00:00"/>
    <x v="8"/>
    <x v="125"/>
    <x v="37"/>
    <s v="League"/>
    <s v="CV Varun"/>
    <s v="Kolkata Knight Riders"/>
    <s v="Sunrisers Hyderabad"/>
    <s v="Kolkata Knight Riders"/>
    <x v="1"/>
    <x v="0"/>
    <s v="runs"/>
    <n v="5"/>
    <n v="172"/>
    <n v="20"/>
    <s v="N"/>
    <s v="NA"/>
    <s v="KN Ananthapadmanabhan"/>
    <s v="MA Gough"/>
  </r>
  <r>
    <n v="1359522"/>
    <s v="Jaipur"/>
    <d v="2023-05-05T00:00:00"/>
    <x v="8"/>
    <x v="71"/>
    <x v="40"/>
    <s v="League"/>
    <s v="Rashid Khan"/>
    <s v="Rajasthan Royals"/>
    <s v="Gujarat Titans"/>
    <s v="Rajasthan Royals"/>
    <x v="1"/>
    <x v="10"/>
    <s v="wickets"/>
    <n v="9"/>
    <n v="119"/>
    <n v="20"/>
    <s v="N"/>
    <s v="NA"/>
    <s v="HAS Khalid"/>
    <s v="VK Sharma"/>
  </r>
  <r>
    <n v="1359523"/>
    <s v="Chennai"/>
    <d v="2023-05-06T00:00:00"/>
    <x v="8"/>
    <x v="172"/>
    <x v="26"/>
    <s v="League"/>
    <s v="M Pathirana"/>
    <s v="Mumbai Indians"/>
    <s v="Chennai Super Kings"/>
    <s v="Chennai Super Kings"/>
    <x v="0"/>
    <x v="1"/>
    <s v="wickets"/>
    <n v="6"/>
    <n v="140"/>
    <n v="20"/>
    <s v="N"/>
    <s v="NA"/>
    <s v="BNJ Oxenford"/>
    <s v="Navdeep Singh"/>
  </r>
  <r>
    <n v="1359524"/>
    <s v="Delhi"/>
    <d v="2023-05-06T00:00:00"/>
    <x v="8"/>
    <x v="173"/>
    <x v="29"/>
    <s v="League"/>
    <s v="PD Salt"/>
    <s v="Royal Challengers Bangalore"/>
    <s v="Delhi Capitals"/>
    <s v="Royal Challengers Bangalore"/>
    <x v="1"/>
    <x v="6"/>
    <s v="wickets"/>
    <n v="7"/>
    <n v="182"/>
    <n v="20"/>
    <s v="N"/>
    <s v="NA"/>
    <s v="RJ Tucker"/>
    <s v="YC Barde"/>
  </r>
  <r>
    <n v="1359525"/>
    <s v="Ahmedabad"/>
    <d v="2023-05-07T00:00:00"/>
    <x v="8"/>
    <x v="116"/>
    <x v="28"/>
    <s v="League"/>
    <s v="Shubman Gill"/>
    <s v="Gujarat Titans"/>
    <s v="Lucknow Super Giants"/>
    <s v="Lucknow Super Giants"/>
    <x v="0"/>
    <x v="10"/>
    <s v="runs"/>
    <n v="56"/>
    <n v="228"/>
    <n v="20"/>
    <s v="N"/>
    <s v="NA"/>
    <s v="AK Chaudhary"/>
    <s v="A Nand Kishore"/>
  </r>
  <r>
    <n v="1359526"/>
    <s v="Jaipur"/>
    <d v="2023-05-07T00:00:00"/>
    <x v="8"/>
    <x v="174"/>
    <x v="40"/>
    <s v="League"/>
    <s v="GD Phillips"/>
    <s v="Rajasthan Royals"/>
    <s v="Sunrisers Hyderabad"/>
    <s v="Rajasthan Royals"/>
    <x v="1"/>
    <x v="5"/>
    <s v="wickets"/>
    <n v="4"/>
    <n v="215"/>
    <n v="20"/>
    <s v="N"/>
    <s v="NA"/>
    <s v="Nitin Menon"/>
    <s v="Vinod Seshan"/>
  </r>
  <r>
    <n v="1359527"/>
    <s v="Kolkata"/>
    <d v="2023-05-08T00:00:00"/>
    <x v="8"/>
    <x v="12"/>
    <x v="34"/>
    <s v="League"/>
    <s v="AD Russell"/>
    <s v="Punjab Kings"/>
    <s v="Kolkata Knight Riders"/>
    <s v="Punjab Kings"/>
    <x v="1"/>
    <x v="0"/>
    <s v="wickets"/>
    <n v="5"/>
    <n v="180"/>
    <n v="20"/>
    <s v="N"/>
    <s v="NA"/>
    <s v="A Totre"/>
    <s v="J Madanagopal"/>
  </r>
  <r>
    <n v="1359528"/>
    <s v="Mumbai"/>
    <d v="2023-05-09T00:00:00"/>
    <x v="8"/>
    <x v="51"/>
    <x v="27"/>
    <s v="League"/>
    <s v="SA Yadav"/>
    <s v="Royal Challengers Bangalore"/>
    <s v="Mumbai Indians"/>
    <s v="Mumbai Indians"/>
    <x v="0"/>
    <x v="7"/>
    <s v="wickets"/>
    <n v="6"/>
    <n v="200"/>
    <n v="20"/>
    <s v="N"/>
    <s v="NA"/>
    <s v="HAS Khalid"/>
    <s v="VK Sharma"/>
  </r>
  <r>
    <n v="1359529"/>
    <s v="Chennai"/>
    <d v="2023-05-10T00:00:00"/>
    <x v="8"/>
    <x v="33"/>
    <x v="26"/>
    <s v="League"/>
    <s v="RA Jadeja"/>
    <s v="Chennai Super Kings"/>
    <s v="Delhi Capitals"/>
    <s v="Chennai Super Kings"/>
    <x v="1"/>
    <x v="1"/>
    <s v="runs"/>
    <n v="27"/>
    <n v="168"/>
    <n v="20"/>
    <s v="N"/>
    <s v="NA"/>
    <s v="CB Gaffaney"/>
    <s v="NA Patwardhan"/>
  </r>
  <r>
    <n v="1359530"/>
    <s v="Kolkata"/>
    <d v="2023-05-11T00:00:00"/>
    <x v="8"/>
    <x v="155"/>
    <x v="34"/>
    <s v="League"/>
    <s v="YBK Jaiswal"/>
    <s v="Kolkata Knight Riders"/>
    <s v="Rajasthan Royals"/>
    <s v="Rajasthan Royals"/>
    <x v="0"/>
    <x v="2"/>
    <s v="wickets"/>
    <n v="9"/>
    <n v="150"/>
    <n v="20"/>
    <s v="N"/>
    <s v="NA"/>
    <s v="RJ Tucker"/>
    <s v="MV Saidharshan Kumar"/>
  </r>
  <r>
    <n v="1359531"/>
    <s v="Mumbai"/>
    <d v="2023-05-12T00:00:00"/>
    <x v="8"/>
    <x v="51"/>
    <x v="27"/>
    <s v="League"/>
    <s v="SA Yadav"/>
    <s v="Mumbai Indians"/>
    <s v="Gujarat Titans"/>
    <s v="Gujarat Titans"/>
    <x v="0"/>
    <x v="7"/>
    <s v="runs"/>
    <n v="27"/>
    <n v="219"/>
    <n v="20"/>
    <s v="N"/>
    <s v="NA"/>
    <s v="Nitin Menon"/>
    <s v="Tapan Sharma"/>
  </r>
  <r>
    <n v="1359532"/>
    <s v="Hyderabad"/>
    <d v="2023-05-13T00:00:00"/>
    <x v="8"/>
    <x v="175"/>
    <x v="37"/>
    <s v="League"/>
    <s v="PN Mankad"/>
    <s v="Sunrisers Hyderabad"/>
    <s v="Lucknow Super Giants"/>
    <s v="Sunrisers Hyderabad"/>
    <x v="1"/>
    <x v="12"/>
    <s v="wickets"/>
    <n v="7"/>
    <n v="183"/>
    <n v="20"/>
    <s v="N"/>
    <s v="NA"/>
    <s v="A Totre"/>
    <s v="J Madanagopal"/>
  </r>
  <r>
    <n v="1359533"/>
    <s v="Delhi"/>
    <d v="2023-05-13T00:00:00"/>
    <x v="8"/>
    <x v="176"/>
    <x v="29"/>
    <s v="League"/>
    <s v="P Simran Singh"/>
    <s v="Punjab Kings"/>
    <s v="Delhi Capitals"/>
    <s v="Delhi Capitals"/>
    <x v="0"/>
    <x v="11"/>
    <s v="runs"/>
    <n v="31"/>
    <n v="168"/>
    <n v="20"/>
    <s v="N"/>
    <s v="NA"/>
    <s v="CB Gaffaney"/>
    <s v="NA Patwardhan"/>
  </r>
  <r>
    <n v="1359534"/>
    <s v="Jaipur"/>
    <d v="2023-05-14T00:00:00"/>
    <x v="8"/>
    <x v="177"/>
    <x v="40"/>
    <s v="League"/>
    <s v="WD Parnell"/>
    <s v="Royal Challengers Bangalore"/>
    <s v="Rajasthan Royals"/>
    <s v="Royal Challengers Bangalore"/>
    <x v="1"/>
    <x v="3"/>
    <s v="runs"/>
    <n v="112"/>
    <n v="172"/>
    <n v="20"/>
    <s v="N"/>
    <s v="NA"/>
    <s v="KN Ananthapadmanabhan"/>
    <s v="Navdeep Singh"/>
  </r>
  <r>
    <n v="1359535"/>
    <s v="Chennai"/>
    <d v="2023-05-14T00:00:00"/>
    <x v="8"/>
    <x v="153"/>
    <x v="26"/>
    <s v="League"/>
    <s v="RK Singh"/>
    <s v="Chennai Super Kings"/>
    <s v="Kolkata Knight Riders"/>
    <s v="Chennai Super Kings"/>
    <x v="1"/>
    <x v="0"/>
    <s v="wickets"/>
    <n v="6"/>
    <n v="145"/>
    <n v="20"/>
    <s v="N"/>
    <s v="NA"/>
    <s v="Tapan Sharma"/>
    <s v="Vinod Seshan"/>
  </r>
  <r>
    <n v="1359536"/>
    <s v="Ahmedabad"/>
    <d v="2023-05-15T00:00:00"/>
    <x v="8"/>
    <x v="116"/>
    <x v="28"/>
    <s v="League"/>
    <s v="Shubman Gill"/>
    <s v="Gujarat Titans"/>
    <s v="Sunrisers Hyderabad"/>
    <s v="Sunrisers Hyderabad"/>
    <x v="0"/>
    <x v="10"/>
    <s v="runs"/>
    <n v="34"/>
    <n v="189"/>
    <n v="20"/>
    <s v="N"/>
    <s v="NA"/>
    <s v="J Madanagopal"/>
    <s v="UV Gandhe"/>
  </r>
  <r>
    <n v="1359537"/>
    <s v="Lucknow"/>
    <d v="2023-05-16T00:00:00"/>
    <x v="8"/>
    <x v="58"/>
    <x v="36"/>
    <s v="League"/>
    <s v="MP Stoinis"/>
    <s v="Lucknow Super Giants"/>
    <s v="Mumbai Indians"/>
    <s v="Mumbai Indians"/>
    <x v="0"/>
    <x v="12"/>
    <s v="runs"/>
    <n v="5"/>
    <n v="178"/>
    <n v="20"/>
    <s v="N"/>
    <s v="NA"/>
    <s v="AK Chaudhary"/>
    <s v="A Nand Kishore"/>
  </r>
  <r>
    <n v="1359538"/>
    <s v="Dharamsala"/>
    <d v="2023-05-17T00:00:00"/>
    <x v="8"/>
    <x v="178"/>
    <x v="41"/>
    <s v="League"/>
    <s v="RR Rossouw"/>
    <s v="Delhi Capitals"/>
    <s v="Punjab Kings"/>
    <s v="Punjab Kings"/>
    <x v="0"/>
    <x v="6"/>
    <s v="runs"/>
    <n v="15"/>
    <n v="214"/>
    <n v="20"/>
    <s v="N"/>
    <s v="NA"/>
    <s v="KN Ananthapadmanabhan"/>
    <s v="MV Saidharshan Kumar"/>
  </r>
  <r>
    <n v="1359539"/>
    <s v="Hyderabad"/>
    <d v="2023-05-18T00:00:00"/>
    <x v="8"/>
    <x v="36"/>
    <x v="37"/>
    <s v="League"/>
    <s v="V Kohli"/>
    <s v="Sunrisers Hyderabad"/>
    <s v="Royal Challengers Bangalore"/>
    <s v="Royal Challengers Bangalore"/>
    <x v="0"/>
    <x v="3"/>
    <s v="wickets"/>
    <n v="8"/>
    <n v="187"/>
    <n v="20"/>
    <s v="N"/>
    <s v="NA"/>
    <s v="BNJ Oxenford"/>
    <s v="VK Sharma"/>
  </r>
  <r>
    <n v="1359540"/>
    <s v="Dharamsala"/>
    <d v="2023-05-19T00:00:00"/>
    <x v="8"/>
    <x v="132"/>
    <x v="41"/>
    <s v="League"/>
    <s v="D Padikkal"/>
    <s v="Punjab Kings"/>
    <s v="Rajasthan Royals"/>
    <s v="Rajasthan Royals"/>
    <x v="0"/>
    <x v="2"/>
    <s v="wickets"/>
    <n v="4"/>
    <n v="188"/>
    <n v="20"/>
    <s v="N"/>
    <s v="NA"/>
    <s v="A Nand Kishore"/>
    <s v="RJ Tucker"/>
  </r>
  <r>
    <n v="1359541"/>
    <s v="Delhi"/>
    <d v="2023-05-20T00:00:00"/>
    <x v="8"/>
    <x v="127"/>
    <x v="29"/>
    <s v="League"/>
    <s v="RD Gaikwad"/>
    <s v="Chennai Super Kings"/>
    <s v="Delhi Capitals"/>
    <s v="Chennai Super Kings"/>
    <x v="1"/>
    <x v="1"/>
    <s v="runs"/>
    <n v="77"/>
    <n v="224"/>
    <n v="20"/>
    <s v="N"/>
    <s v="NA"/>
    <s v="CB Gaffaney"/>
    <s v="NA Patwardhan"/>
  </r>
  <r>
    <n v="1359542"/>
    <s v="Kolkata"/>
    <d v="2023-05-20T00:00:00"/>
    <x v="8"/>
    <x v="165"/>
    <x v="34"/>
    <s v="League"/>
    <s v="N Pooran"/>
    <s v="Lucknow Super Giants"/>
    <s v="Kolkata Knight Riders"/>
    <s v="Kolkata Knight Riders"/>
    <x v="0"/>
    <x v="12"/>
    <s v="runs"/>
    <n v="1"/>
    <n v="177"/>
    <n v="20"/>
    <s v="N"/>
    <s v="NA"/>
    <s v="J Madanagopal"/>
    <s v="UV Gandhe"/>
  </r>
  <r>
    <n v="1359543"/>
    <s v="Mumbai"/>
    <d v="2023-05-21T00:00:00"/>
    <x v="8"/>
    <x v="168"/>
    <x v="27"/>
    <s v="League"/>
    <s v="C Green"/>
    <s v="Sunrisers Hyderabad"/>
    <s v="Mumbai Indians"/>
    <s v="Mumbai Indians"/>
    <x v="0"/>
    <x v="7"/>
    <s v="wickets"/>
    <n v="8"/>
    <n v="201"/>
    <n v="20"/>
    <s v="N"/>
    <s v="NA"/>
    <s v="KN Ananthapadmanabhan"/>
    <s v="RJ Tucker"/>
  </r>
  <r>
    <n v="1359544"/>
    <s v="Bengaluru"/>
    <d v="2023-05-21T00:00:00"/>
    <x v="8"/>
    <x v="116"/>
    <x v="38"/>
    <s v="League"/>
    <s v="Shubman Gill"/>
    <s v="Royal Challengers Bangalore"/>
    <s v="Gujarat Titans"/>
    <s v="Gujarat Titans"/>
    <x v="0"/>
    <x v="10"/>
    <s v="wickets"/>
    <n v="6"/>
    <n v="198"/>
    <n v="20"/>
    <s v="N"/>
    <s v="NA"/>
    <s v="Nitin Menon"/>
    <s v="VK Sharma"/>
  </r>
  <r>
    <n v="1370350"/>
    <s v="Chennai"/>
    <d v="2023-05-23T00:00:00"/>
    <x v="8"/>
    <x v="127"/>
    <x v="26"/>
    <s v="Qualifier 1"/>
    <s v="RD Gaikwad"/>
    <s v="Chennai Super Kings"/>
    <s v="Gujarat Titans"/>
    <s v="Gujarat Titans"/>
    <x v="0"/>
    <x v="1"/>
    <s v="runs"/>
    <n v="15"/>
    <n v="173"/>
    <n v="20"/>
    <s v="N"/>
    <s v="NA"/>
    <s v="AK Chaudhary"/>
    <s v="CB Gaffaney"/>
  </r>
  <r>
    <n v="1370351"/>
    <s v="Chennai"/>
    <d v="2023-05-24T00:00:00"/>
    <x v="8"/>
    <x v="179"/>
    <x v="26"/>
    <s v="Eliminator"/>
    <s v="Akash Madhwal"/>
    <s v="Mumbai Indians"/>
    <s v="Lucknow Super Giants"/>
    <s v="Mumbai Indians"/>
    <x v="1"/>
    <x v="7"/>
    <s v="runs"/>
    <n v="81"/>
    <n v="183"/>
    <n v="20"/>
    <s v="N"/>
    <s v="NA"/>
    <s v="BNJ Oxenford"/>
    <s v="VK Sharma"/>
  </r>
  <r>
    <n v="1370352"/>
    <s v="Ahmedabad"/>
    <d v="2023-05-26T00:00:00"/>
    <x v="8"/>
    <x v="116"/>
    <x v="28"/>
    <s v="Qualifier 2"/>
    <s v="Shubman Gill"/>
    <s v="Gujarat Titans"/>
    <s v="Mumbai Indians"/>
    <s v="Mumbai Indians"/>
    <x v="0"/>
    <x v="10"/>
    <s v="runs"/>
    <n v="62"/>
    <n v="234"/>
    <n v="20"/>
    <s v="N"/>
    <s v="NA"/>
    <s v="Nitin Menon"/>
    <s v="RJ Tucker"/>
  </r>
  <r>
    <n v="1370353"/>
    <s v="Ahmedabad"/>
    <d v="2023-05-29T00:00:00"/>
    <x v="8"/>
    <x v="156"/>
    <x v="28"/>
    <s v="Final"/>
    <s v="DP Conway"/>
    <s v="Gujarat Titans"/>
    <s v="Chennai Super Kings"/>
    <s v="Chennai Super Kings"/>
    <x v="0"/>
    <x v="1"/>
    <s v="wickets"/>
    <n v="5"/>
    <n v="171"/>
    <n v="15"/>
    <s v="N"/>
    <s v="D/L"/>
    <s v="Nitin Menon"/>
    <s v="RJ Tucker"/>
  </r>
  <r>
    <n v="1422119"/>
    <s v="Chennai"/>
    <d v="2024-03-22T00:00:00"/>
    <x v="9"/>
    <x v="50"/>
    <x v="26"/>
    <s v="League"/>
    <s v="Mustafizur Rahman"/>
    <s v="Royal Challengers Bangalore"/>
    <s v="Chennai Super Kings"/>
    <s v="Royal Challengers Bangalore"/>
    <x v="1"/>
    <x v="1"/>
    <s v="wickets"/>
    <n v="6"/>
    <n v="174"/>
    <n v="20"/>
    <s v="N"/>
    <s v="NA"/>
    <s v="HAS Khalid"/>
    <s v="VK Sharma"/>
  </r>
  <r>
    <n v="1422120"/>
    <s v="Mohali"/>
    <d v="2024-03-23T00:00:00"/>
    <x v="9"/>
    <x v="107"/>
    <x v="42"/>
    <s v="League"/>
    <s v="SM Curran"/>
    <s v="Delhi Capitals"/>
    <s v="Punjab Kings"/>
    <s v="Punjab Kings"/>
    <x v="0"/>
    <x v="11"/>
    <s v="wickets"/>
    <n v="4"/>
    <n v="175"/>
    <n v="20"/>
    <s v="N"/>
    <s v="NA"/>
    <s v="J Madanagopal"/>
    <s v="NA Patwardhan"/>
  </r>
  <r>
    <n v="1422121"/>
    <s v="Kolkata"/>
    <d v="2024-03-23T00:00:00"/>
    <x v="9"/>
    <x v="12"/>
    <x v="34"/>
    <s v="League"/>
    <s v="AD Russell"/>
    <s v="Kolkata Knight Riders"/>
    <s v="Sunrisers Hyderabad"/>
    <s v="Sunrisers Hyderabad"/>
    <x v="0"/>
    <x v="0"/>
    <s v="runs"/>
    <n v="4"/>
    <n v="209"/>
    <n v="20"/>
    <s v="N"/>
    <s v="NA"/>
    <s v="R Pandit"/>
    <s v="YC Barde"/>
  </r>
  <r>
    <n v="1422122"/>
    <s v="Jaipur"/>
    <d v="2024-03-24T00:00:00"/>
    <x v="9"/>
    <x v="49"/>
    <x v="40"/>
    <s v="League"/>
    <s v="SV Samson"/>
    <s v="Rajasthan Royals"/>
    <s v="Lucknow Super Giants"/>
    <s v="Rajasthan Royals"/>
    <x v="1"/>
    <x v="2"/>
    <s v="runs"/>
    <n v="20"/>
    <n v="194"/>
    <n v="20"/>
    <s v="N"/>
    <s v="NA"/>
    <s v="A Totre"/>
    <s v="HDPK Dharmasena"/>
  </r>
  <r>
    <n v="1422123"/>
    <s v="Ahmedabad"/>
    <d v="2024-03-24T00:00:00"/>
    <x v="9"/>
    <x v="163"/>
    <x v="28"/>
    <s v="League"/>
    <s v="B Sai Sudharsan"/>
    <s v="Gujarat Titans"/>
    <s v="Mumbai Indians"/>
    <s v="Mumbai Indians"/>
    <x v="0"/>
    <x v="10"/>
    <s v="runs"/>
    <n v="6"/>
    <n v="169"/>
    <n v="20"/>
    <s v="N"/>
    <s v="NA"/>
    <s v="VA Kulkarni"/>
    <s v="VK Sharma"/>
  </r>
  <r>
    <n v="1422124"/>
    <s v="Bengaluru"/>
    <d v="2024-03-25T00:00:00"/>
    <x v="9"/>
    <x v="36"/>
    <x v="38"/>
    <s v="League"/>
    <s v="V Kohli"/>
    <s v="Punjab Kings"/>
    <s v="Royal Challengers Bangalore"/>
    <s v="Royal Challengers Bangalore"/>
    <x v="0"/>
    <x v="3"/>
    <s v="wickets"/>
    <n v="4"/>
    <n v="177"/>
    <n v="20"/>
    <s v="N"/>
    <s v="NA"/>
    <s v="AK Chaudhary"/>
    <s v="MV Saidharshan Kumar"/>
  </r>
  <r>
    <n v="1422125"/>
    <s v="Chennai"/>
    <d v="2024-03-26T00:00:00"/>
    <x v="9"/>
    <x v="146"/>
    <x v="26"/>
    <s v="League"/>
    <s v="S Dube"/>
    <s v="Chennai Super Kings"/>
    <s v="Gujarat Titans"/>
    <s v="Gujarat Titans"/>
    <x v="0"/>
    <x v="1"/>
    <s v="runs"/>
    <n v="63"/>
    <n v="207"/>
    <n v="20"/>
    <s v="N"/>
    <s v="NA"/>
    <s v="AG Wharf"/>
    <s v="Tapan Sharma"/>
  </r>
  <r>
    <n v="1422126"/>
    <s v="Hyderabad"/>
    <d v="2024-03-27T00:00:00"/>
    <x v="9"/>
    <x v="144"/>
    <x v="37"/>
    <s v="League"/>
    <s v="Abhishek Sharma"/>
    <s v="Sunrisers Hyderabad"/>
    <s v="Mumbai Indians"/>
    <s v="Mumbai Indians"/>
    <x v="0"/>
    <x v="5"/>
    <s v="runs"/>
    <n v="31"/>
    <n v="278"/>
    <n v="20"/>
    <s v="N"/>
    <s v="NA"/>
    <s v="KN Ananthapadmanabhan"/>
    <s v="UV Gandhe"/>
  </r>
  <r>
    <n v="1422127"/>
    <s v="Jaipur"/>
    <d v="2024-03-28T00:00:00"/>
    <x v="9"/>
    <x v="151"/>
    <x v="40"/>
    <s v="League"/>
    <s v="R Parag"/>
    <s v="Rajasthan Royals"/>
    <s v="Delhi Capitals"/>
    <s v="Delhi Capitals"/>
    <x v="0"/>
    <x v="2"/>
    <s v="runs"/>
    <n v="12"/>
    <n v="186"/>
    <n v="20"/>
    <s v="N"/>
    <s v="NA"/>
    <s v="A Nand Kishore"/>
    <s v="Nitin Menon"/>
  </r>
  <r>
    <n v="1422128"/>
    <s v="Bengaluru"/>
    <d v="2024-03-29T00:00:00"/>
    <x v="9"/>
    <x v="74"/>
    <x v="38"/>
    <s v="League"/>
    <s v="SP Narine"/>
    <s v="Royal Challengers Bangalore"/>
    <s v="Kolkata Knight Riders"/>
    <s v="Kolkata Knight Riders"/>
    <x v="0"/>
    <x v="0"/>
    <s v="wickets"/>
    <n v="7"/>
    <n v="183"/>
    <n v="20"/>
    <s v="N"/>
    <s v="NA"/>
    <s v="AK Chaudhary"/>
    <s v="R Pandit"/>
  </r>
  <r>
    <n v="1422129"/>
    <s v="Lucknow"/>
    <d v="2024-03-30T00:00:00"/>
    <x v="9"/>
    <x v="180"/>
    <x v="36"/>
    <s v="League"/>
    <s v="MP Yadav"/>
    <s v="Lucknow Super Giants"/>
    <s v="Punjab Kings"/>
    <s v="Lucknow Super Giants"/>
    <x v="1"/>
    <x v="12"/>
    <s v="runs"/>
    <n v="21"/>
    <n v="200"/>
    <n v="20"/>
    <s v="N"/>
    <s v="NA"/>
    <s v="J Madanagopal"/>
    <s v="Navdeep Singh"/>
  </r>
  <r>
    <n v="1422130"/>
    <s v="Ahmedabad"/>
    <d v="2024-03-31T00:00:00"/>
    <x v="9"/>
    <x v="86"/>
    <x v="28"/>
    <s v="League"/>
    <s v="MM Sharma"/>
    <s v="Sunrisers Hyderabad"/>
    <s v="Gujarat Titans"/>
    <s v="Sunrisers Hyderabad"/>
    <x v="1"/>
    <x v="10"/>
    <s v="wickets"/>
    <n v="7"/>
    <n v="163"/>
    <n v="20"/>
    <s v="N"/>
    <s v="NA"/>
    <s v="HAS Khalid"/>
    <s v="VK Sharma"/>
  </r>
  <r>
    <n v="1422131"/>
    <s v="Visakhapatnam"/>
    <d v="2024-03-31T00:00:00"/>
    <x v="9"/>
    <x v="115"/>
    <x v="43"/>
    <s v="League"/>
    <s v="KK Ahmed"/>
    <s v="Delhi Capitals"/>
    <s v="Chennai Super Kings"/>
    <s v="Delhi Capitals"/>
    <x v="1"/>
    <x v="6"/>
    <s v="runs"/>
    <n v="20"/>
    <n v="192"/>
    <n v="20"/>
    <s v="N"/>
    <s v="NA"/>
    <s v="HDPK Dharmasena"/>
    <s v="Vinod Seshan"/>
  </r>
  <r>
    <n v="1422132"/>
    <s v="Mumbai"/>
    <d v="2024-04-01T00:00:00"/>
    <x v="9"/>
    <x v="21"/>
    <x v="27"/>
    <s v="League"/>
    <s v="TA Boult"/>
    <s v="Mumbai Indians"/>
    <s v="Rajasthan Royals"/>
    <s v="Rajasthan Royals"/>
    <x v="0"/>
    <x v="2"/>
    <s v="wickets"/>
    <n v="6"/>
    <n v="126"/>
    <n v="20"/>
    <s v="N"/>
    <s v="NA"/>
    <s v="MV Saidharshan Kumar"/>
    <s v="YC Barde"/>
  </r>
  <r>
    <n v="1422133"/>
    <s v="Bengaluru"/>
    <d v="2024-04-02T00:00:00"/>
    <x v="9"/>
    <x v="180"/>
    <x v="38"/>
    <s v="League"/>
    <s v="MP Yadav"/>
    <s v="Lucknow Super Giants"/>
    <s v="Royal Challengers Bangalore"/>
    <s v="Royal Challengers Bangalore"/>
    <x v="0"/>
    <x v="12"/>
    <s v="runs"/>
    <n v="28"/>
    <n v="182"/>
    <n v="20"/>
    <s v="N"/>
    <s v="NA"/>
    <s v="J Madanagopal"/>
    <s v="NA Patwardhan"/>
  </r>
  <r>
    <n v="1422134"/>
    <s v="Visakhapatnam"/>
    <d v="2024-04-03T00:00:00"/>
    <x v="9"/>
    <x v="74"/>
    <x v="43"/>
    <s v="League"/>
    <s v="SP Narine"/>
    <s v="Kolkata Knight Riders"/>
    <s v="Delhi Capitals"/>
    <s v="Kolkata Knight Riders"/>
    <x v="1"/>
    <x v="0"/>
    <s v="runs"/>
    <n v="106"/>
    <n v="273"/>
    <n v="20"/>
    <s v="N"/>
    <s v="NA"/>
    <s v="A Totre"/>
    <s v="UV Gandhe"/>
  </r>
  <r>
    <n v="1422135"/>
    <s v="Ahmedabad"/>
    <d v="2024-04-04T00:00:00"/>
    <x v="9"/>
    <x v="181"/>
    <x v="28"/>
    <s v="League"/>
    <s v="Shashank Singh"/>
    <s v="Gujarat Titans"/>
    <s v="Punjab Kings"/>
    <s v="Punjab Kings"/>
    <x v="0"/>
    <x v="11"/>
    <s v="wickets"/>
    <n v="3"/>
    <n v="200"/>
    <n v="20"/>
    <s v="N"/>
    <s v="NA"/>
    <s v="Nitin Menon"/>
    <s v="VA Kulkarni"/>
  </r>
  <r>
    <n v="1422136"/>
    <s v="Hyderabad"/>
    <d v="2024-04-05T00:00:00"/>
    <x v="9"/>
    <x v="144"/>
    <x v="37"/>
    <s v="League"/>
    <s v="Abhishek Sharma"/>
    <s v="Chennai Super Kings"/>
    <s v="Sunrisers Hyderabad"/>
    <s v="Sunrisers Hyderabad"/>
    <x v="0"/>
    <x v="5"/>
    <s v="wickets"/>
    <n v="6"/>
    <n v="166"/>
    <n v="20"/>
    <s v="N"/>
    <s v="NA"/>
    <s v="R Pandit"/>
    <s v="YC Barde"/>
  </r>
  <r>
    <n v="1422137"/>
    <s v="Jaipur"/>
    <d v="2024-04-06T00:00:00"/>
    <x v="9"/>
    <x v="79"/>
    <x v="40"/>
    <s v="League"/>
    <s v="JC Buttler"/>
    <s v="Royal Challengers Bangalore"/>
    <s v="Rajasthan Royals"/>
    <s v="Rajasthan Royals"/>
    <x v="0"/>
    <x v="2"/>
    <s v="wickets"/>
    <n v="6"/>
    <n v="184"/>
    <n v="20"/>
    <s v="N"/>
    <s v="NA"/>
    <s v="AG Wharf"/>
    <s v="Tapan Sharma"/>
  </r>
  <r>
    <n v="1422138"/>
    <s v="Mumbai"/>
    <d v="2024-04-07T00:00:00"/>
    <x v="9"/>
    <x v="182"/>
    <x v="27"/>
    <s v="League"/>
    <s v="R Shepherd"/>
    <s v="Mumbai Indians"/>
    <s v="Delhi Capitals"/>
    <s v="Delhi Capitals"/>
    <x v="0"/>
    <x v="7"/>
    <s v="runs"/>
    <n v="29"/>
    <n v="235"/>
    <n v="20"/>
    <s v="N"/>
    <s v="NA"/>
    <s v="HDPK Dharmasena"/>
    <s v="UV Gandhe"/>
  </r>
  <r>
    <n v="1422139"/>
    <s v="Lucknow"/>
    <d v="2024-04-07T00:00:00"/>
    <x v="9"/>
    <x v="183"/>
    <x v="36"/>
    <s v="League"/>
    <s v="Yash Thakur"/>
    <s v="Lucknow Super Giants"/>
    <s v="Gujarat Titans"/>
    <s v="Lucknow Super Giants"/>
    <x v="1"/>
    <x v="12"/>
    <s v="runs"/>
    <n v="33"/>
    <n v="164"/>
    <n v="20"/>
    <s v="N"/>
    <s v="NA"/>
    <s v="A Nand Kishore"/>
    <s v="VK Sharma"/>
  </r>
  <r>
    <n v="1426260"/>
    <s v="Chennai"/>
    <d v="2024-04-08T00:00:00"/>
    <x v="9"/>
    <x v="33"/>
    <x v="26"/>
    <s v="League"/>
    <s v="RA Jadeja"/>
    <s v="Kolkata Knight Riders"/>
    <s v="Chennai Super Kings"/>
    <s v="Chennai Super Kings"/>
    <x v="0"/>
    <x v="1"/>
    <s v="wickets"/>
    <n v="7"/>
    <n v="138"/>
    <n v="20"/>
    <s v="N"/>
    <s v="NA"/>
    <s v="AK Chaudhary"/>
    <s v="MV Saidharshan Kumar"/>
  </r>
  <r>
    <n v="1426261"/>
    <s v="Mohali"/>
    <d v="2024-04-09T00:00:00"/>
    <x v="9"/>
    <x v="184"/>
    <x v="42"/>
    <s v="League"/>
    <s v="Nithish Kumar Reddy"/>
    <s v="Sunrisers Hyderabad"/>
    <s v="Punjab Kings"/>
    <s v="Punjab Kings"/>
    <x v="0"/>
    <x v="5"/>
    <s v="runs"/>
    <n v="2"/>
    <n v="183"/>
    <n v="20"/>
    <s v="N"/>
    <s v="NA"/>
    <s v="Navdeep Singh"/>
    <s v="NA Patwardhan"/>
  </r>
  <r>
    <n v="1426262"/>
    <s v="Jaipur"/>
    <d v="2024-04-10T00:00:00"/>
    <x v="9"/>
    <x v="71"/>
    <x v="40"/>
    <s v="League"/>
    <s v="Rashid Khan"/>
    <s v="Rajasthan Royals"/>
    <s v="Gujarat Titans"/>
    <s v="Gujarat Titans"/>
    <x v="0"/>
    <x v="10"/>
    <s v="wickets"/>
    <n v="3"/>
    <n v="197"/>
    <n v="20"/>
    <s v="N"/>
    <s v="NA"/>
    <s v="HDPK Dharmasena"/>
    <s v="Vinod Seshan"/>
  </r>
  <r>
    <n v="1426263"/>
    <s v="Mumbai"/>
    <d v="2024-04-11T00:00:00"/>
    <x v="9"/>
    <x v="73"/>
    <x v="27"/>
    <s v="League"/>
    <s v="JJ Bumrah"/>
    <s v="Royal Challengers Bangalore"/>
    <s v="Mumbai Indians"/>
    <s v="Mumbai Indians"/>
    <x v="0"/>
    <x v="7"/>
    <s v="wickets"/>
    <n v="7"/>
    <n v="197"/>
    <n v="20"/>
    <s v="N"/>
    <s v="NA"/>
    <s v="Nitin Menon"/>
    <s v="VA Kulkarni"/>
  </r>
  <r>
    <n v="1426264"/>
    <s v="Lucknow"/>
    <d v="2024-04-12T00:00:00"/>
    <x v="9"/>
    <x v="101"/>
    <x v="36"/>
    <s v="League"/>
    <s v="Kuldeep Yadav"/>
    <s v="Lucknow Super Giants"/>
    <s v="Delhi Capitals"/>
    <s v="Lucknow Super Giants"/>
    <x v="1"/>
    <x v="6"/>
    <s v="wickets"/>
    <n v="6"/>
    <n v="168"/>
    <n v="20"/>
    <s v="N"/>
    <s v="NA"/>
    <s v="R Pandit"/>
    <s v="YC Barde"/>
  </r>
  <r>
    <n v="1426265"/>
    <s v="Mohali"/>
    <d v="2024-04-13T00:00:00"/>
    <x v="9"/>
    <x v="117"/>
    <x v="42"/>
    <s v="League"/>
    <s v="SO Hetmyer"/>
    <s v="Punjab Kings"/>
    <s v="Rajasthan Royals"/>
    <s v="Rajasthan Royals"/>
    <x v="0"/>
    <x v="2"/>
    <s v="wickets"/>
    <n v="3"/>
    <n v="148"/>
    <n v="20"/>
    <s v="N"/>
    <s v="NA"/>
    <s v="AK Chaudhary"/>
    <s v="Tapan Sharma"/>
  </r>
  <r>
    <n v="1426266"/>
    <s v="Kolkata"/>
    <d v="2024-04-14T00:00:00"/>
    <x v="9"/>
    <x v="173"/>
    <x v="34"/>
    <s v="League"/>
    <s v="PD Salt"/>
    <s v="Lucknow Super Giants"/>
    <s v="Kolkata Knight Riders"/>
    <s v="Kolkata Knight Riders"/>
    <x v="0"/>
    <x v="0"/>
    <s v="wickets"/>
    <n v="8"/>
    <n v="162"/>
    <n v="20"/>
    <s v="N"/>
    <s v="NA"/>
    <s v="A Totre"/>
    <s v="Vinod Seshan"/>
  </r>
  <r>
    <n v="1426267"/>
    <s v="Mumbai"/>
    <d v="2024-04-14T00:00:00"/>
    <x v="9"/>
    <x v="172"/>
    <x v="27"/>
    <s v="League"/>
    <s v="M Pathirana"/>
    <s v="Chennai Super Kings"/>
    <s v="Mumbai Indians"/>
    <s v="Mumbai Indians"/>
    <x v="0"/>
    <x v="1"/>
    <s v="runs"/>
    <n v="20"/>
    <n v="207"/>
    <n v="20"/>
    <s v="N"/>
    <s v="NA"/>
    <s v="Nitin Menon"/>
    <s v="HAS Khalid"/>
  </r>
  <r>
    <n v="1426268"/>
    <s v="Bengaluru"/>
    <d v="2024-04-15T00:00:00"/>
    <x v="9"/>
    <x v="185"/>
    <x v="38"/>
    <s v="League"/>
    <s v="TM Head"/>
    <s v="Sunrisers Hyderabad"/>
    <s v="Royal Challengers Bangalore"/>
    <s v="Royal Challengers Bangalore"/>
    <x v="0"/>
    <x v="5"/>
    <s v="runs"/>
    <n v="25"/>
    <n v="288"/>
    <n v="20"/>
    <s v="N"/>
    <s v="NA"/>
    <s v="AK Chaudhary"/>
    <s v="R Pandit"/>
  </r>
  <r>
    <n v="1426269"/>
    <s v="Kolkata"/>
    <d v="2024-04-16T00:00:00"/>
    <x v="9"/>
    <x v="79"/>
    <x v="34"/>
    <s v="League"/>
    <s v="JC Buttler"/>
    <s v="Kolkata Knight Riders"/>
    <s v="Rajasthan Royals"/>
    <s v="Rajasthan Royals"/>
    <x v="0"/>
    <x v="2"/>
    <s v="wickets"/>
    <n v="2"/>
    <n v="224"/>
    <n v="20"/>
    <s v="N"/>
    <s v="NA"/>
    <s v="MA Gough"/>
    <s v="UV Gandhe"/>
  </r>
  <r>
    <n v="1426270"/>
    <s v="Ahmedabad"/>
    <d v="2024-04-17T00:00:00"/>
    <x v="9"/>
    <x v="57"/>
    <x v="28"/>
    <s v="League"/>
    <s v="RR Pant"/>
    <s v="Gujarat Titans"/>
    <s v="Delhi Capitals"/>
    <s v="Delhi Capitals"/>
    <x v="0"/>
    <x v="6"/>
    <s v="wickets"/>
    <n v="6"/>
    <n v="90"/>
    <n v="20"/>
    <s v="N"/>
    <s v="NA"/>
    <s v="NA Patwardhan"/>
    <s v="VK Sharma"/>
  </r>
  <r>
    <n v="1426271"/>
    <s v="Mohali"/>
    <d v="2024-04-18T00:00:00"/>
    <x v="9"/>
    <x v="73"/>
    <x v="42"/>
    <s v="League"/>
    <s v="JJ Bumrah"/>
    <s v="Mumbai Indians"/>
    <s v="Punjab Kings"/>
    <s v="Punjab Kings"/>
    <x v="0"/>
    <x v="7"/>
    <s v="runs"/>
    <n v="9"/>
    <n v="193"/>
    <n v="20"/>
    <s v="N"/>
    <s v="NA"/>
    <s v="A Nand Kishore"/>
    <s v="VA Kulkarni"/>
  </r>
  <r>
    <n v="1426272"/>
    <s v="Lucknow"/>
    <d v="2024-04-19T00:00:00"/>
    <x v="9"/>
    <x v="92"/>
    <x v="36"/>
    <s v="League"/>
    <s v="KL Rahul"/>
    <s v="Chennai Super Kings"/>
    <s v="Lucknow Super Giants"/>
    <s v="Lucknow Super Giants"/>
    <x v="0"/>
    <x v="12"/>
    <s v="wickets"/>
    <n v="8"/>
    <n v="177"/>
    <n v="20"/>
    <s v="N"/>
    <s v="NA"/>
    <s v="AK Chaudhary"/>
    <s v="R Pandit"/>
  </r>
  <r>
    <n v="1426273"/>
    <s v="Delhi"/>
    <d v="2024-04-20T00:00:00"/>
    <x v="9"/>
    <x v="185"/>
    <x v="29"/>
    <s v="League"/>
    <s v="TM Head"/>
    <s v="Sunrisers Hyderabad"/>
    <s v="Delhi Capitals"/>
    <s v="Delhi Capitals"/>
    <x v="0"/>
    <x v="5"/>
    <s v="runs"/>
    <n v="67"/>
    <n v="267"/>
    <n v="20"/>
    <s v="N"/>
    <s v="NA"/>
    <s v="J Madanagopal"/>
    <s v="Navdeep Singh"/>
  </r>
  <r>
    <n v="1426274"/>
    <s v="Kolkata"/>
    <d v="2024-04-21T00:00:00"/>
    <x v="9"/>
    <x v="12"/>
    <x v="34"/>
    <s v="League"/>
    <s v="AD Russell"/>
    <s v="Kolkata Knight Riders"/>
    <s v="Royal Challengers Bangalore"/>
    <s v="Royal Challengers Bangalore"/>
    <x v="0"/>
    <x v="0"/>
    <s v="runs"/>
    <n v="1"/>
    <n v="223"/>
    <n v="20"/>
    <s v="N"/>
    <s v="NA"/>
    <s v="A Totre"/>
    <s v="Vinod Seshan"/>
  </r>
  <r>
    <n v="1426275"/>
    <s v="Mohali"/>
    <d v="2024-04-21T00:00:00"/>
    <x v="9"/>
    <x v="186"/>
    <x v="42"/>
    <s v="League"/>
    <s v="R Sai Kishore"/>
    <s v="Punjab Kings"/>
    <s v="Gujarat Titans"/>
    <s v="Punjab Kings"/>
    <x v="1"/>
    <x v="10"/>
    <s v="wickets"/>
    <n v="3"/>
    <n v="143"/>
    <n v="20"/>
    <s v="N"/>
    <s v="NA"/>
    <s v="A Nand Kishore"/>
    <s v="VA Kulkarni"/>
  </r>
  <r>
    <n v="1426276"/>
    <s v="Jaipur"/>
    <d v="2024-04-22T00:00:00"/>
    <x v="9"/>
    <x v="81"/>
    <x v="40"/>
    <s v="League"/>
    <s v="Sandeep Sharma"/>
    <s v="Mumbai Indians"/>
    <s v="Rajasthan Royals"/>
    <s v="Mumbai Indians"/>
    <x v="1"/>
    <x v="2"/>
    <s v="wickets"/>
    <n v="9"/>
    <n v="180"/>
    <n v="20"/>
    <s v="N"/>
    <s v="NA"/>
    <s v="AK Chaudhary"/>
    <s v="MV Saidharshan Kumar"/>
  </r>
  <r>
    <n v="1426277"/>
    <s v="Chennai"/>
    <d v="2024-04-23T00:00:00"/>
    <x v="9"/>
    <x v="58"/>
    <x v="26"/>
    <s v="League"/>
    <s v="MP Stoinis"/>
    <s v="Chennai Super Kings"/>
    <s v="Lucknow Super Giants"/>
    <s v="Lucknow Super Giants"/>
    <x v="0"/>
    <x v="12"/>
    <s v="wickets"/>
    <n v="6"/>
    <n v="211"/>
    <n v="20"/>
    <s v="N"/>
    <s v="NA"/>
    <s v="NA Patwardhan"/>
    <s v="Tapan Sharma"/>
  </r>
  <r>
    <n v="1426278"/>
    <s v="Delhi"/>
    <d v="2024-04-24T00:00:00"/>
    <x v="9"/>
    <x v="57"/>
    <x v="29"/>
    <s v="League"/>
    <s v="RR Pant"/>
    <s v="Delhi Capitals"/>
    <s v="Gujarat Titans"/>
    <s v="Gujarat Titans"/>
    <x v="0"/>
    <x v="6"/>
    <s v="runs"/>
    <n v="4"/>
    <n v="225"/>
    <n v="20"/>
    <s v="N"/>
    <s v="NA"/>
    <s v="KN Ananthapadmanabhan"/>
    <s v="UV Gandhe"/>
  </r>
  <r>
    <n v="1426279"/>
    <s v="Hyderabad"/>
    <d v="2024-04-25T00:00:00"/>
    <x v="9"/>
    <x v="160"/>
    <x v="37"/>
    <s v="League"/>
    <s v="RM Patidar"/>
    <s v="Royal Challengers Bangalore"/>
    <s v="Sunrisers Hyderabad"/>
    <s v="Royal Challengers Bangalore"/>
    <x v="1"/>
    <x v="3"/>
    <s v="runs"/>
    <n v="35"/>
    <n v="207"/>
    <n v="20"/>
    <s v="N"/>
    <s v="NA"/>
    <s v="Nitin Menon"/>
    <s v="HAS Khalid"/>
  </r>
  <r>
    <n v="1426280"/>
    <s v="Kolkata"/>
    <d v="2024-04-26T00:00:00"/>
    <x v="9"/>
    <x v="106"/>
    <x v="34"/>
    <s v="League"/>
    <s v="JM Bairstow"/>
    <s v="Kolkata Knight Riders"/>
    <s v="Punjab Kings"/>
    <s v="Punjab Kings"/>
    <x v="0"/>
    <x v="11"/>
    <s v="wickets"/>
    <n v="8"/>
    <n v="262"/>
    <n v="20"/>
    <s v="N"/>
    <s v="NA"/>
    <s v="AK Chaudhary"/>
    <s v="YC Barde"/>
  </r>
  <r>
    <n v="1426281"/>
    <s v="Delhi"/>
    <d v="2024-04-27T00:00:00"/>
    <x v="9"/>
    <x v="187"/>
    <x v="29"/>
    <s v="League"/>
    <s v="J Fraser-McGurk"/>
    <s v="Delhi Capitals"/>
    <s v="Mumbai Indians"/>
    <s v="Mumbai Indians"/>
    <x v="0"/>
    <x v="6"/>
    <s v="runs"/>
    <n v="10"/>
    <n v="258"/>
    <n v="20"/>
    <s v="N"/>
    <s v="NA"/>
    <s v="Navdeep Singh"/>
    <s v="NA Patwardhan"/>
  </r>
  <r>
    <n v="1426282"/>
    <s v="Lucknow"/>
    <d v="2024-04-27T00:00:00"/>
    <x v="9"/>
    <x v="49"/>
    <x v="36"/>
    <s v="League"/>
    <s v="SV Samson"/>
    <s v="Lucknow Super Giants"/>
    <s v="Rajasthan Royals"/>
    <s v="Rajasthan Royals"/>
    <x v="0"/>
    <x v="2"/>
    <s v="wickets"/>
    <n v="7"/>
    <n v="197"/>
    <n v="20"/>
    <s v="N"/>
    <s v="NA"/>
    <s v="KN Ananthapadmanabhan"/>
    <s v="MA Gough"/>
  </r>
  <r>
    <n v="1426283"/>
    <s v="Ahmedabad"/>
    <d v="2024-04-28T00:00:00"/>
    <x v="9"/>
    <x v="188"/>
    <x v="28"/>
    <s v="League"/>
    <s v="WG Jacks"/>
    <s v="Gujarat Titans"/>
    <s v="Royal Challengers Bangalore"/>
    <s v="Royal Challengers Bangalore"/>
    <x v="0"/>
    <x v="3"/>
    <s v="wickets"/>
    <n v="9"/>
    <n v="201"/>
    <n v="20"/>
    <s v="N"/>
    <s v="NA"/>
    <s v="Nitin Menon"/>
    <s v="VK Sharma"/>
  </r>
  <r>
    <n v="1426284"/>
    <s v="Chennai"/>
    <d v="2024-04-28T00:00:00"/>
    <x v="9"/>
    <x v="127"/>
    <x v="26"/>
    <s v="League"/>
    <s v="RD Gaikwad"/>
    <s v="Chennai Super Kings"/>
    <s v="Sunrisers Hyderabad"/>
    <s v="Sunrisers Hyderabad"/>
    <x v="0"/>
    <x v="1"/>
    <s v="runs"/>
    <n v="78"/>
    <n v="213"/>
    <n v="20"/>
    <s v="N"/>
    <s v="NA"/>
    <s v="R Pandit"/>
    <s v="MV Saidharshan Kumar"/>
  </r>
  <r>
    <n v="1426285"/>
    <s v="Kolkata"/>
    <d v="2024-04-29T00:00:00"/>
    <x v="9"/>
    <x v="125"/>
    <x v="34"/>
    <s v="League"/>
    <s v="CV Varun"/>
    <s v="Delhi Capitals"/>
    <s v="Kolkata Knight Riders"/>
    <s v="Delhi Capitals"/>
    <x v="1"/>
    <x v="0"/>
    <s v="wickets"/>
    <n v="7"/>
    <n v="154"/>
    <n v="20"/>
    <s v="N"/>
    <s v="NA"/>
    <s v="Navdeep Singh"/>
    <s v="Tapan Sharma"/>
  </r>
  <r>
    <n v="1426286"/>
    <s v="Lucknow"/>
    <d v="2024-04-30T00:00:00"/>
    <x v="9"/>
    <x v="58"/>
    <x v="36"/>
    <s v="League"/>
    <s v="MP Stoinis"/>
    <s v="Mumbai Indians"/>
    <s v="Lucknow Super Giants"/>
    <s v="Lucknow Super Giants"/>
    <x v="0"/>
    <x v="12"/>
    <s v="wickets"/>
    <n v="4"/>
    <n v="145"/>
    <n v="20"/>
    <s v="N"/>
    <s v="NA"/>
    <s v="MA Gough"/>
    <s v="UV Gandhe"/>
  </r>
  <r>
    <n v="1426287"/>
    <s v="Chennai"/>
    <d v="2024-05-01T00:00:00"/>
    <x v="9"/>
    <x v="133"/>
    <x v="26"/>
    <s v="League"/>
    <s v="Harpreet Brar"/>
    <s v="Chennai Super Kings"/>
    <s v="Punjab Kings"/>
    <s v="Punjab Kings"/>
    <x v="0"/>
    <x v="11"/>
    <s v="wickets"/>
    <n v="7"/>
    <n v="163"/>
    <n v="20"/>
    <s v="N"/>
    <s v="NA"/>
    <s v="HAS Khalid"/>
    <s v="VK Sharma"/>
  </r>
  <r>
    <n v="1426288"/>
    <s v="Hyderabad"/>
    <d v="2024-05-02T00:00:00"/>
    <x v="9"/>
    <x v="48"/>
    <x v="37"/>
    <s v="League"/>
    <s v="B Kumar"/>
    <s v="Sunrisers Hyderabad"/>
    <s v="Rajasthan Royals"/>
    <s v="Sunrisers Hyderabad"/>
    <x v="1"/>
    <x v="5"/>
    <s v="runs"/>
    <n v="1"/>
    <n v="202"/>
    <n v="20"/>
    <s v="N"/>
    <s v="NA"/>
    <s v="AK Chaudhary"/>
    <s v="YC Barde"/>
  </r>
  <r>
    <n v="1426289"/>
    <s v="Mumbai"/>
    <d v="2024-05-03T00:00:00"/>
    <x v="9"/>
    <x v="138"/>
    <x v="27"/>
    <s v="League"/>
    <s v="VR Iyer"/>
    <s v="Kolkata Knight Riders"/>
    <s v="Mumbai Indians"/>
    <s v="Mumbai Indians"/>
    <x v="0"/>
    <x v="0"/>
    <s v="runs"/>
    <n v="24"/>
    <n v="170"/>
    <n v="20"/>
    <s v="N"/>
    <s v="NA"/>
    <s v="J Madanagopal"/>
    <s v="Tapan Sharma"/>
  </r>
  <r>
    <n v="1426290"/>
    <s v="Bengaluru"/>
    <d v="2024-05-04T00:00:00"/>
    <x v="9"/>
    <x v="88"/>
    <x v="38"/>
    <s v="League"/>
    <s v="Mohammed Siraj"/>
    <s v="Gujarat Titans"/>
    <s v="Royal Challengers Bangalore"/>
    <s v="Royal Challengers Bangalore"/>
    <x v="0"/>
    <x v="3"/>
    <s v="wickets"/>
    <n v="4"/>
    <n v="148"/>
    <n v="20"/>
    <s v="N"/>
    <s v="NA"/>
    <s v="A Totre"/>
    <s v="Vinod Seshan"/>
  </r>
  <r>
    <n v="1426291"/>
    <s v="Dharamsala"/>
    <d v="2024-05-05T00:00:00"/>
    <x v="9"/>
    <x v="33"/>
    <x v="41"/>
    <s v="League"/>
    <s v="RA Jadeja"/>
    <s v="Chennai Super Kings"/>
    <s v="Punjab Kings"/>
    <s v="Punjab Kings"/>
    <x v="0"/>
    <x v="1"/>
    <s v="runs"/>
    <n v="28"/>
    <n v="168"/>
    <n v="20"/>
    <s v="N"/>
    <s v="NA"/>
    <s v="A Nand Kishore"/>
    <s v="VA Kulkarni"/>
  </r>
  <r>
    <n v="1426292"/>
    <s v="Lucknow"/>
    <d v="2024-05-05T00:00:00"/>
    <x v="9"/>
    <x v="74"/>
    <x v="36"/>
    <s v="League"/>
    <s v="SP Narine"/>
    <s v="Kolkata Knight Riders"/>
    <s v="Lucknow Super Giants"/>
    <s v="Lucknow Super Giants"/>
    <x v="0"/>
    <x v="0"/>
    <s v="runs"/>
    <n v="98"/>
    <n v="236"/>
    <n v="20"/>
    <s v="N"/>
    <s v="NA"/>
    <s v="MV Saidharshan Kumar"/>
    <s v="YC Barde"/>
  </r>
  <r>
    <n v="1426293"/>
    <s v="Mumbai"/>
    <d v="2024-05-06T00:00:00"/>
    <x v="9"/>
    <x v="51"/>
    <x v="27"/>
    <s v="League"/>
    <s v="SA Yadav"/>
    <s v="Sunrisers Hyderabad"/>
    <s v="Mumbai Indians"/>
    <s v="Mumbai Indians"/>
    <x v="0"/>
    <x v="7"/>
    <s v="wickets"/>
    <n v="7"/>
    <n v="174"/>
    <n v="20"/>
    <s v="N"/>
    <s v="NA"/>
    <s v="Navdeep Singh"/>
    <s v="Tapan Sharma"/>
  </r>
  <r>
    <n v="1426294"/>
    <s v="Delhi"/>
    <d v="2024-05-07T00:00:00"/>
    <x v="9"/>
    <x v="101"/>
    <x v="29"/>
    <s v="League"/>
    <s v="Kuldeep Yadav"/>
    <s v="Delhi Capitals"/>
    <s v="Rajasthan Royals"/>
    <s v="Rajasthan Royals"/>
    <x v="0"/>
    <x v="6"/>
    <s v="runs"/>
    <n v="20"/>
    <n v="222"/>
    <n v="20"/>
    <s v="N"/>
    <s v="NA"/>
    <s v="KN Ananthapadmanabhan"/>
    <s v="UV Gandhe"/>
  </r>
  <r>
    <n v="1426295"/>
    <s v="Hyderabad"/>
    <d v="2024-05-08T00:00:00"/>
    <x v="9"/>
    <x v="185"/>
    <x v="37"/>
    <s v="League"/>
    <s v="TM Head"/>
    <s v="Lucknow Super Giants"/>
    <s v="Sunrisers Hyderabad"/>
    <s v="Lucknow Super Giants"/>
    <x v="1"/>
    <x v="5"/>
    <s v="wickets"/>
    <n v="10"/>
    <n v="166"/>
    <n v="20"/>
    <s v="N"/>
    <s v="NA"/>
    <s v="MV Saidharshan Kumar"/>
    <s v="YC Barde"/>
  </r>
  <r>
    <n v="1426296"/>
    <s v="Dharamsala"/>
    <d v="2024-05-09T00:00:00"/>
    <x v="9"/>
    <x v="36"/>
    <x v="41"/>
    <s v="League"/>
    <s v="V Kohli"/>
    <s v="Royal Challengers Bangalore"/>
    <s v="Punjab Kings"/>
    <s v="Punjab Kings"/>
    <x v="0"/>
    <x v="3"/>
    <s v="runs"/>
    <n v="60"/>
    <n v="242"/>
    <n v="20"/>
    <s v="N"/>
    <s v="NA"/>
    <s v="Nitin Menon"/>
    <s v="HAS Khalid"/>
  </r>
  <r>
    <n v="1426297"/>
    <s v="Ahmedabad"/>
    <d v="2024-05-10T00:00:00"/>
    <x v="9"/>
    <x v="116"/>
    <x v="28"/>
    <s v="League"/>
    <s v="Shubman Gill"/>
    <s v="Gujarat Titans"/>
    <s v="Chennai Super Kings"/>
    <s v="Chennai Super Kings"/>
    <x v="0"/>
    <x v="10"/>
    <s v="runs"/>
    <n v="35"/>
    <n v="232"/>
    <n v="20"/>
    <s v="N"/>
    <s v="NA"/>
    <s v="KN Ananthapadmanabhan"/>
    <s v="NA Patwardhan"/>
  </r>
  <r>
    <n v="1426298"/>
    <s v="Kolkata"/>
    <d v="2024-05-11T00:00:00"/>
    <x v="9"/>
    <x v="125"/>
    <x v="34"/>
    <s v="League"/>
    <s v="CV Varun"/>
    <s v="Kolkata Knight Riders"/>
    <s v="Mumbai Indians"/>
    <s v="Mumbai Indians"/>
    <x v="0"/>
    <x v="0"/>
    <s v="runs"/>
    <n v="18"/>
    <n v="158"/>
    <n v="16"/>
    <s v="N"/>
    <s v="NA"/>
    <s v="UV Gandhe"/>
    <s v="Vinod Seshan"/>
  </r>
  <r>
    <n v="1426299"/>
    <s v="Chennai"/>
    <d v="2024-05-12T00:00:00"/>
    <x v="9"/>
    <x v="189"/>
    <x v="26"/>
    <s v="League"/>
    <s v="Simarjeet Singh"/>
    <s v="Rajasthan Royals"/>
    <s v="Chennai Super Kings"/>
    <s v="Rajasthan Royals"/>
    <x v="1"/>
    <x v="1"/>
    <s v="wickets"/>
    <n v="5"/>
    <n v="142"/>
    <n v="20"/>
    <s v="N"/>
    <s v="NA"/>
    <s v="R Pandit"/>
    <s v="YC Barde"/>
  </r>
  <r>
    <n v="1426300"/>
    <s v="Bengaluru"/>
    <d v="2024-05-12T00:00:00"/>
    <x v="9"/>
    <x v="168"/>
    <x v="38"/>
    <s v="League"/>
    <s v="C Green"/>
    <s v="Royal Challengers Bangalore"/>
    <s v="Delhi Capitals"/>
    <s v="Delhi Capitals"/>
    <x v="0"/>
    <x v="3"/>
    <s v="runs"/>
    <n v="47"/>
    <n v="188"/>
    <n v="20"/>
    <s v="N"/>
    <s v="NA"/>
    <s v="A Nand Kishore"/>
    <s v="VA Kulkarni"/>
  </r>
  <r>
    <n v="1426302"/>
    <s v="Delhi"/>
    <d v="2024-05-14T00:00:00"/>
    <x v="9"/>
    <x v="169"/>
    <x v="29"/>
    <s v="League"/>
    <s v="I Sharma"/>
    <s v="Delhi Capitals"/>
    <s v="Lucknow Super Giants"/>
    <s v="Lucknow Super Giants"/>
    <x v="0"/>
    <x v="6"/>
    <s v="runs"/>
    <n v="19"/>
    <n v="209"/>
    <n v="20"/>
    <s v="N"/>
    <s v="NA"/>
    <s v="A Totre"/>
    <s v="Vinod Seshan"/>
  </r>
  <r>
    <n v="1426303"/>
    <s v="Guwahati"/>
    <d v="2024-05-15T00:00:00"/>
    <x v="9"/>
    <x v="107"/>
    <x v="39"/>
    <s v="League"/>
    <s v="SM Curran"/>
    <s v="Rajasthan Royals"/>
    <s v="Punjab Kings"/>
    <s v="Rajasthan Royals"/>
    <x v="1"/>
    <x v="11"/>
    <s v="wickets"/>
    <n v="5"/>
    <n v="145"/>
    <n v="20"/>
    <s v="N"/>
    <s v="NA"/>
    <s v="R Pandit"/>
    <s v="MV Saidharshan Kumar"/>
  </r>
  <r>
    <n v="1426305"/>
    <s v="Mumbai"/>
    <d v="2024-05-17T00:00:00"/>
    <x v="9"/>
    <x v="165"/>
    <x v="27"/>
    <s v="League"/>
    <s v="N Pooran"/>
    <s v="Lucknow Super Giants"/>
    <s v="Mumbai Indians"/>
    <s v="Mumbai Indians"/>
    <x v="0"/>
    <x v="12"/>
    <s v="runs"/>
    <n v="18"/>
    <n v="215"/>
    <n v="20"/>
    <s v="N"/>
    <s v="NA"/>
    <s v="Navdeep Singh"/>
    <s v="R Pandit"/>
  </r>
  <r>
    <n v="1426306"/>
    <s v="Bengaluru"/>
    <d v="2024-05-18T00:00:00"/>
    <x v="9"/>
    <x v="104"/>
    <x v="38"/>
    <s v="League"/>
    <s v="F du Plessis"/>
    <s v="Royal Challengers Bangalore"/>
    <s v="Chennai Super Kings"/>
    <s v="Chennai Super Kings"/>
    <x v="0"/>
    <x v="3"/>
    <s v="runs"/>
    <n v="27"/>
    <n v="219"/>
    <n v="20"/>
    <s v="N"/>
    <s v="NA"/>
    <s v="A Totre"/>
    <s v="KN Ananthapadmanabhan"/>
  </r>
  <r>
    <n v="1426307"/>
    <s v="Hyderabad"/>
    <d v="2024-05-19T00:00:00"/>
    <x v="9"/>
    <x v="144"/>
    <x v="37"/>
    <s v="League"/>
    <s v="Abhishek Sharma"/>
    <s v="Punjab Kings"/>
    <s v="Sunrisers Hyderabad"/>
    <s v="Punjab Kings"/>
    <x v="1"/>
    <x v="5"/>
    <s v="wickets"/>
    <n v="4"/>
    <n v="215"/>
    <n v="20"/>
    <s v="N"/>
    <s v="NA"/>
    <s v="Nitin Menon"/>
    <s v="VK Sharma"/>
  </r>
  <r>
    <n v="1426309"/>
    <s v="Ahmedabad"/>
    <d v="2024-05-21T00:00:00"/>
    <x v="9"/>
    <x v="18"/>
    <x v="28"/>
    <s v="Qualifier 1"/>
    <s v="MA Starc"/>
    <s v="Sunrisers Hyderabad"/>
    <s v="Kolkata Knight Riders"/>
    <s v="Sunrisers Hyderabad"/>
    <x v="1"/>
    <x v="0"/>
    <s v="wickets"/>
    <n v="8"/>
    <n v="160"/>
    <n v="20"/>
    <s v="N"/>
    <s v="NA"/>
    <s v="AK Chaudhary"/>
    <s v="R Pandit"/>
  </r>
  <r>
    <n v="1426310"/>
    <s v="Ahmedabad"/>
    <d v="2024-05-22T00:00:00"/>
    <x v="9"/>
    <x v="114"/>
    <x v="28"/>
    <s v="Eliminator"/>
    <s v="R Ashwin"/>
    <s v="Royal Challengers Bangalore"/>
    <s v="Rajasthan Royals"/>
    <s v="Rajasthan Royals"/>
    <x v="0"/>
    <x v="2"/>
    <s v="wickets"/>
    <n v="4"/>
    <n v="173"/>
    <n v="20"/>
    <s v="N"/>
    <s v="NA"/>
    <s v="KN Ananthapadmanabhan"/>
    <s v="MV Saidharshan Kumar"/>
  </r>
  <r>
    <n v="1426311"/>
    <s v="Chennai"/>
    <d v="2024-05-24T00:00:00"/>
    <x v="9"/>
    <x v="190"/>
    <x v="26"/>
    <s v="Qualifier 2"/>
    <s v="Shahbaz Ahmed"/>
    <s v="Sunrisers Hyderabad"/>
    <s v="Rajasthan Royals"/>
    <s v="Rajasthan Royals"/>
    <x v="0"/>
    <x v="5"/>
    <s v="runs"/>
    <n v="36"/>
    <n v="176"/>
    <n v="20"/>
    <s v="N"/>
    <s v="NA"/>
    <s v="Nitin Menon"/>
    <s v="VK Sharma"/>
  </r>
  <r>
    <n v="1426312"/>
    <s v="Chennai"/>
    <d v="2024-05-26T00:00:00"/>
    <x v="9"/>
    <x v="18"/>
    <x v="26"/>
    <s v="Final"/>
    <s v="MA Starc"/>
    <s v="Sunrisers Hyderabad"/>
    <s v="Kolkata Knight Riders"/>
    <s v="Sunrisers Hyderabad"/>
    <x v="1"/>
    <x v="0"/>
    <s v="wickets"/>
    <n v="8"/>
    <n v="114"/>
    <n v="20"/>
    <s v="N"/>
    <s v="NA"/>
    <s v="J Madanagopal"/>
    <s v="Nitin Menon"/>
  </r>
</pivotCacheRecords>
</file>

<file path=xl/pivotCache/pivotCacheRecords2.xml><?xml version="1.0" encoding="utf-8"?>
<pivotCacheRecords xmlns="http://schemas.openxmlformats.org/spreadsheetml/2006/main" xmlns:r="http://schemas.openxmlformats.org/officeDocument/2006/relationships" count="10">
  <r>
    <x v="0"/>
    <x v="0"/>
    <s v="Chennai Super Kings"/>
    <s v="Rohit Sharma "/>
    <s v="Andre Russell "/>
  </r>
  <r>
    <x v="1"/>
    <x v="1"/>
    <s v="Royal Challengers Bangalore"/>
    <s v="Ben Cutting "/>
    <s v="Virat Kohli "/>
  </r>
  <r>
    <x v="2"/>
    <x v="0"/>
    <s v="Rising Pune Supergiants"/>
    <s v="Krunal Pandya "/>
    <s v="Ben Stokes "/>
  </r>
  <r>
    <x v="3"/>
    <x v="2"/>
    <s v="Sunrisers Hyderabad"/>
    <s v="Shane Watson "/>
    <s v="Sunil Narine "/>
  </r>
  <r>
    <x v="4"/>
    <x v="0"/>
    <s v="Chennai Super Kings"/>
    <s v="Jasprit Bumrah"/>
    <s v="Andre Russell "/>
  </r>
  <r>
    <x v="5"/>
    <x v="0"/>
    <s v="Delhi Capitals"/>
    <s v="Trent Boult "/>
    <s v="Jofra Archer "/>
  </r>
  <r>
    <x v="6"/>
    <x v="2"/>
    <s v="Kolkata Knight Riders"/>
    <s v="Faf du Plessis "/>
    <s v="Harshal Patel "/>
  </r>
  <r>
    <x v="7"/>
    <x v="3"/>
    <s v="Rajasthan Royals"/>
    <s v="Hardik Pandya "/>
    <s v="Jos Buttler "/>
  </r>
  <r>
    <x v="8"/>
    <x v="2"/>
    <s v="Gujarat Titans"/>
    <s v="Devon Conway "/>
    <s v="Shubman Gill "/>
  </r>
  <r>
    <x v="9"/>
    <x v="4"/>
    <s v="Sunrisers Hyderabad"/>
    <s v="Mitchell Starc "/>
    <s v="Sunil Narine "/>
  </r>
</pivotCacheRecords>
</file>

<file path=xl/pivotCache/pivotCacheRecords3.xml><?xml version="1.0" encoding="utf-8"?>
<pivotCacheRecords xmlns="http://schemas.openxmlformats.org/spreadsheetml/2006/main" xmlns:r="http://schemas.openxmlformats.org/officeDocument/2006/relationships" count="638">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2"/>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6"/>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7"/>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8"/>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9"/>
  </r>
  <r>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Matches win by team"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D14" firstHeaderRow="1" firstDataRow="2" firstDataCol="1"/>
  <pivotFields count="21">
    <pivotField showAll="0"/>
    <pivotField showAll="0"/>
    <pivotField numFmtId="14" showAll="0"/>
    <pivotField showAll="0">
      <items count="11">
        <item x="0"/>
        <item h="1" x="1"/>
        <item h="1" x="2"/>
        <item h="1" x="3"/>
        <item h="1" x="4"/>
        <item h="1" x="5"/>
        <item h="1" x="6"/>
        <item h="1" x="7"/>
        <item h="1" x="8"/>
        <item h="1" x="9"/>
        <item t="default"/>
      </items>
    </pivotField>
    <pivotField showAll="0"/>
    <pivotField showAll="0"/>
    <pivotField showAll="0"/>
    <pivotField showAll="0"/>
    <pivotField showAll="0"/>
    <pivotField showAll="0"/>
    <pivotField dataField="1" showAll="0"/>
    <pivotField axis="axisCol" showAll="0">
      <items count="3">
        <item x="1"/>
        <item x="0"/>
        <item t="default"/>
      </items>
    </pivotField>
    <pivotField axis="axisRow" showAll="0" sortType="descending">
      <items count="14">
        <item x="1"/>
        <item x="6"/>
        <item x="10"/>
        <item x="4"/>
        <item x="0"/>
        <item x="12"/>
        <item x="7"/>
        <item x="8"/>
        <item x="11"/>
        <item x="2"/>
        <item x="9"/>
        <item x="3"/>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s>
  <rowFields count="1">
    <field x="12"/>
  </rowFields>
  <rowItems count="10">
    <i>
      <x/>
    </i>
    <i>
      <x v="6"/>
    </i>
    <i>
      <x v="11"/>
    </i>
    <i>
      <x v="12"/>
    </i>
    <i>
      <x v="9"/>
    </i>
    <i>
      <x v="4"/>
    </i>
    <i>
      <x v="1"/>
    </i>
    <i>
      <x v="3"/>
    </i>
    <i>
      <x v="7"/>
    </i>
    <i t="grand">
      <x/>
    </i>
  </rowItems>
  <colFields count="1">
    <field x="11"/>
  </colFields>
  <colItems count="3">
    <i>
      <x/>
    </i>
    <i>
      <x v="1"/>
    </i>
    <i t="grand">
      <x/>
    </i>
  </colItems>
  <dataFields count="1">
    <dataField name="Count of toss_winner" fld="10" subtotal="count" baseField="0" baseItem="0"/>
  </dataFields>
  <chartFormats count="4">
    <chartFormat chart="0" format="2" series="1">
      <pivotArea type="data" outline="0" fieldPosition="0">
        <references count="2">
          <reference field="4294967294" count="1" selected="0">
            <x v="0"/>
          </reference>
          <reference field="11" count="1" selected="0">
            <x v="0"/>
          </reference>
        </references>
      </pivotArea>
    </chartFormat>
    <chartFormat chart="0" format="3" series="1">
      <pivotArea type="data" outline="0" fieldPosition="0">
        <references count="2">
          <reference field="4294967294" count="1" selected="0">
            <x v="0"/>
          </reference>
          <reference field="11" count="1" selected="0">
            <x v="1"/>
          </reference>
        </references>
      </pivotArea>
    </chartFormat>
    <chartFormat chart="2" format="6" series="1">
      <pivotArea type="data" outline="0" fieldPosition="0">
        <references count="2">
          <reference field="4294967294" count="1" selected="0">
            <x v="0"/>
          </reference>
          <reference field="11" count="1" selected="0">
            <x v="0"/>
          </reference>
        </references>
      </pivotArea>
    </chartFormat>
    <chartFormat chart="2" format="7"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Toss Based"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6" firstHeaderRow="1" firstDataRow="1" firstDataCol="1"/>
  <pivotFields count="21">
    <pivotField showAll="0"/>
    <pivotField showAll="0"/>
    <pivotField numFmtId="14" showAll="0"/>
    <pivotField showAll="0">
      <items count="11">
        <item x="0"/>
        <item h="1" x="1"/>
        <item h="1" x="2"/>
        <item h="1" x="3"/>
        <item h="1" x="4"/>
        <item h="1" x="5"/>
        <item h="1" x="6"/>
        <item h="1" x="7"/>
        <item h="1" x="8"/>
        <item h="1" x="9"/>
        <item t="default"/>
      </items>
    </pivotField>
    <pivotField showAll="0"/>
    <pivotField showAll="0"/>
    <pivotField showAll="0"/>
    <pivotField showAll="0"/>
    <pivotField showAll="0"/>
    <pivotField showAll="0"/>
    <pivotField showAll="0"/>
    <pivotField axis="axisRow" showAll="0">
      <items count="3">
        <item x="1"/>
        <item x="0"/>
        <item t="default"/>
      </items>
    </pivotField>
    <pivotField dataField="1" showAll="0"/>
    <pivotField showAll="0"/>
    <pivotField showAll="0"/>
    <pivotField showAll="0"/>
    <pivotField showAll="0"/>
    <pivotField showAll="0"/>
    <pivotField showAll="0"/>
    <pivotField showAll="0"/>
    <pivotField showAll="0"/>
  </pivotFields>
  <rowFields count="1">
    <field x="11"/>
  </rowFields>
  <rowItems count="3">
    <i>
      <x/>
    </i>
    <i>
      <x v="1"/>
    </i>
    <i t="grand">
      <x/>
    </i>
  </rowItems>
  <colItems count="1">
    <i/>
  </colItems>
  <dataFields count="1">
    <dataField name="Count of winner" fld="12" subtotal="count" showDataAs="percentOfTotal" baseField="0" baseItem="0" numFmtId="10"/>
  </dataFields>
  <chartFormats count="10">
    <chartFormat chart="0"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11" count="1" selected="0">
            <x v="0"/>
          </reference>
        </references>
      </pivotArea>
    </chartFormat>
    <chartFormat chart="1" format="5">
      <pivotArea type="data" outline="0" fieldPosition="0">
        <references count="2">
          <reference field="4294967294" count="1" selected="0">
            <x v="0"/>
          </reference>
          <reference field="11" count="1" selected="0">
            <x v="1"/>
          </reference>
        </references>
      </pivotArea>
    </chartFormat>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11" count="1" selected="0">
            <x v="1"/>
          </reference>
        </references>
      </pivotArea>
    </chartFormat>
    <chartFormat chart="2" format="5">
      <pivotArea type="data" outline="0" fieldPosition="0">
        <references count="2">
          <reference field="4294967294" count="1" selected="0">
            <x v="0"/>
          </reference>
          <reference field="11" count="1" selected="0">
            <x v="0"/>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11" count="1" selected="0">
            <x v="0"/>
          </reference>
        </references>
      </pivotArea>
    </chartFormat>
    <chartFormat chart="4" format="1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op 10 venue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D16" firstHeaderRow="1" firstDataRow="2" firstDataCol="1"/>
  <pivotFields count="21">
    <pivotField showAll="0"/>
    <pivotField showAll="0"/>
    <pivotField numFmtId="14" showAll="0"/>
    <pivotField showAll="0">
      <items count="11">
        <item x="0"/>
        <item h="1" x="1"/>
        <item h="1" x="2"/>
        <item h="1" x="3"/>
        <item h="1" x="4"/>
        <item h="1" x="5"/>
        <item h="1" x="6"/>
        <item h="1" x="7"/>
        <item h="1" x="8"/>
        <item h="1" x="9"/>
        <item t="default"/>
      </items>
    </pivotField>
    <pivotField showAll="0"/>
    <pivotField axis="axisRow" showAll="0" measureFilter="1" sortType="descending">
      <items count="45">
        <item x="22"/>
        <item x="29"/>
        <item x="39"/>
        <item x="36"/>
        <item x="10"/>
        <item x="31"/>
        <item x="32"/>
        <item x="7"/>
        <item x="43"/>
        <item x="24"/>
        <item x="0"/>
        <item x="34"/>
        <item x="3"/>
        <item x="15"/>
        <item x="41"/>
        <item x="16"/>
        <item x="12"/>
        <item x="5"/>
        <item x="38"/>
        <item x="17"/>
        <item x="20"/>
        <item x="1"/>
        <item x="26"/>
        <item x="42"/>
        <item x="2"/>
        <item x="33"/>
        <item x="28"/>
        <item x="18"/>
        <item x="13"/>
        <item x="35"/>
        <item x="8"/>
        <item x="19"/>
        <item x="9"/>
        <item x="37"/>
        <item x="6"/>
        <item x="14"/>
        <item x="21"/>
        <item x="40"/>
        <item x="11"/>
        <item x="25"/>
        <item x="23"/>
        <item x="4"/>
        <item x="27"/>
        <item x="3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Col" showAll="0">
      <items count="3">
        <item x="1"/>
        <item x="0"/>
        <item t="default"/>
      </items>
    </pivotField>
    <pivotField dataField="1" showAll="0"/>
    <pivotField showAll="0"/>
    <pivotField showAll="0"/>
    <pivotField showAll="0"/>
    <pivotField showAll="0"/>
    <pivotField showAll="0"/>
    <pivotField showAll="0"/>
    <pivotField showAll="0"/>
    <pivotField showAll="0"/>
  </pivotFields>
  <rowFields count="1">
    <field x="5"/>
  </rowFields>
  <rowItems count="12">
    <i>
      <x v="41"/>
    </i>
    <i>
      <x v="17"/>
    </i>
    <i>
      <x v="10"/>
    </i>
    <i>
      <x v="21"/>
    </i>
    <i>
      <x v="12"/>
    </i>
    <i>
      <x v="32"/>
    </i>
    <i>
      <x v="34"/>
    </i>
    <i>
      <x v="24"/>
    </i>
    <i>
      <x v="30"/>
    </i>
    <i>
      <x v="4"/>
    </i>
    <i>
      <x v="7"/>
    </i>
    <i t="grand">
      <x/>
    </i>
  </rowItems>
  <colFields count="1">
    <field x="11"/>
  </colFields>
  <colItems count="3">
    <i>
      <x/>
    </i>
    <i>
      <x v="1"/>
    </i>
    <i t="grand">
      <x/>
    </i>
  </colItems>
  <dataFields count="1">
    <dataField name="Count of winner" fld="12" subtotal="count" baseField="0" baseItem="0"/>
  </dataFields>
  <chartFormats count="4">
    <chartFormat chart="2" format="2" series="1">
      <pivotArea type="data" outline="0" fieldPosition="0">
        <references count="2">
          <reference field="4294967294" count="1" selected="0">
            <x v="0"/>
          </reference>
          <reference field="11" count="1" selected="0">
            <x v="0"/>
          </reference>
        </references>
      </pivotArea>
    </chartFormat>
    <chartFormat chart="2" format="3" series="1">
      <pivotArea type="data" outline="0" fieldPosition="0">
        <references count="2">
          <reference field="4294967294" count="1" selected="0">
            <x v="0"/>
          </reference>
          <reference field="11" count="1" selected="0">
            <x v="1"/>
          </reference>
        </references>
      </pivotArea>
    </chartFormat>
    <chartFormat chart="5" format="6" series="1">
      <pivotArea type="data" outline="0" fieldPosition="0">
        <references count="2">
          <reference field="4294967294" count="1" selected="0">
            <x v="0"/>
          </reference>
          <reference field="11" count="1" selected="0">
            <x v="0"/>
          </reference>
        </references>
      </pivotArea>
    </chartFormat>
    <chartFormat chart="5" format="7"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MoM"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46" firstHeaderRow="1" firstDataRow="1" firstDataCol="1"/>
  <pivotFields count="21">
    <pivotField showAll="0"/>
    <pivotField showAll="0"/>
    <pivotField numFmtId="14" showAll="0"/>
    <pivotField showAll="0">
      <items count="11">
        <item x="0"/>
        <item h="1" x="1"/>
        <item h="1" x="2"/>
        <item h="1" x="3"/>
        <item h="1" x="4"/>
        <item h="1" x="5"/>
        <item h="1" x="6"/>
        <item h="1" x="7"/>
        <item h="1" x="8"/>
        <item h="1" x="9"/>
        <item t="default"/>
      </items>
    </pivotField>
    <pivotField axis="axisRow" dataField="1" showAll="0" sortType="descending">
      <items count="192">
        <item x="170"/>
        <item x="43"/>
        <item x="1"/>
        <item x="123"/>
        <item x="60"/>
        <item x="32"/>
        <item x="53"/>
        <item x="144"/>
        <item x="12"/>
        <item x="42"/>
        <item x="75"/>
        <item x="179"/>
        <item x="10"/>
        <item x="145"/>
        <item x="35"/>
        <item x="161"/>
        <item x="108"/>
        <item x="97"/>
        <item x="25"/>
        <item x="143"/>
        <item x="48"/>
        <item x="163"/>
        <item x="95"/>
        <item x="77"/>
        <item x="3"/>
        <item x="66"/>
        <item x="168"/>
        <item x="68"/>
        <item x="4"/>
        <item x="54"/>
        <item x="76"/>
        <item x="126"/>
        <item x="56"/>
        <item x="125"/>
        <item x="132"/>
        <item x="148"/>
        <item x="7"/>
        <item x="22"/>
        <item x="5"/>
        <item x="111"/>
        <item x="156"/>
        <item x="158"/>
        <item x="55"/>
        <item x="141"/>
        <item x="29"/>
        <item x="104"/>
        <item x="44"/>
        <item x="174"/>
        <item x="6"/>
        <item x="69"/>
        <item x="13"/>
        <item x="133"/>
        <item x="166"/>
        <item x="110"/>
        <item x="30"/>
        <item x="63"/>
        <item x="89"/>
        <item x="169"/>
        <item x="112"/>
        <item x="100"/>
        <item x="187"/>
        <item x="171"/>
        <item x="96"/>
        <item x="79"/>
        <item x="84"/>
        <item x="73"/>
        <item x="94"/>
        <item x="106"/>
        <item x="135"/>
        <item x="11"/>
        <item x="2"/>
        <item x="136"/>
        <item x="109"/>
        <item x="40"/>
        <item x="134"/>
        <item x="121"/>
        <item x="61"/>
        <item x="115"/>
        <item x="64"/>
        <item x="92"/>
        <item x="70"/>
        <item x="113"/>
        <item x="137"/>
        <item x="78"/>
        <item x="101"/>
        <item x="91"/>
        <item x="103"/>
        <item x="80"/>
        <item x="27"/>
        <item x="142"/>
        <item x="150"/>
        <item x="0"/>
        <item x="172"/>
        <item x="45"/>
        <item x="9"/>
        <item x="18"/>
        <item x="162"/>
        <item x="26"/>
        <item x="31"/>
        <item x="39"/>
        <item x="124"/>
        <item x="131"/>
        <item x="86"/>
        <item x="82"/>
        <item x="88"/>
        <item x="152"/>
        <item x="58"/>
        <item x="180"/>
        <item x="157"/>
        <item x="65"/>
        <item x="99"/>
        <item x="149"/>
        <item x="50"/>
        <item x="165"/>
        <item x="72"/>
        <item x="23"/>
        <item x="184"/>
        <item x="24"/>
        <item x="164"/>
        <item x="139"/>
        <item x="59"/>
        <item x="37"/>
        <item x="176"/>
        <item x="52"/>
        <item x="173"/>
        <item x="128"/>
        <item x="120"/>
        <item x="175"/>
        <item x="28"/>
        <item x="105"/>
        <item x="140"/>
        <item x="46"/>
        <item x="114"/>
        <item x="151"/>
        <item x="186"/>
        <item x="182"/>
        <item x="122"/>
        <item x="33"/>
        <item x="83"/>
        <item x="71"/>
        <item x="130"/>
        <item x="127"/>
        <item x="41"/>
        <item x="153"/>
        <item x="160"/>
        <item x="57"/>
        <item x="178"/>
        <item x="47"/>
        <item x="85"/>
        <item x="146"/>
        <item x="102"/>
        <item x="129"/>
        <item x="51"/>
        <item x="81"/>
        <item x="15"/>
        <item x="190"/>
        <item x="181"/>
        <item x="119"/>
        <item x="116"/>
        <item x="167"/>
        <item x="189"/>
        <item x="16"/>
        <item x="19"/>
        <item x="107"/>
        <item x="159"/>
        <item x="117"/>
        <item x="74"/>
        <item x="8"/>
        <item x="38"/>
        <item x="17"/>
        <item x="49"/>
        <item x="93"/>
        <item x="21"/>
        <item x="98"/>
        <item x="154"/>
        <item x="185"/>
        <item x="147"/>
        <item x="14"/>
        <item x="36"/>
        <item x="20"/>
        <item x="138"/>
        <item x="90"/>
        <item x="177"/>
        <item x="188"/>
        <item x="87"/>
        <item x="183"/>
        <item x="155"/>
        <item x="62"/>
        <item x="118"/>
        <item x="67"/>
        <item x="3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3">
    <i>
      <x v="36"/>
    </i>
    <i>
      <x v="12"/>
    </i>
    <i>
      <x v="8"/>
    </i>
    <i>
      <x v="2"/>
    </i>
    <i>
      <x v="161"/>
    </i>
    <i>
      <x v="54"/>
    </i>
    <i>
      <x v="50"/>
    </i>
    <i>
      <x v="24"/>
    </i>
    <i>
      <x v="115"/>
    </i>
    <i>
      <x v="28"/>
    </i>
    <i>
      <x v="5"/>
    </i>
    <i>
      <x v="177"/>
    </i>
    <i>
      <x v="121"/>
    </i>
    <i>
      <x v="168"/>
    </i>
    <i>
      <x v="154"/>
    </i>
    <i>
      <x v="18"/>
    </i>
    <i>
      <x v="38"/>
    </i>
    <i>
      <x v="37"/>
    </i>
    <i>
      <x v="137"/>
    </i>
    <i>
      <x v="69"/>
    </i>
    <i>
      <x v="162"/>
    </i>
    <i>
      <x v="70"/>
    </i>
    <i>
      <x v="48"/>
    </i>
    <i>
      <x v="73"/>
    </i>
    <i>
      <x v="117"/>
    </i>
    <i>
      <x v="88"/>
    </i>
    <i>
      <x v="128"/>
    </i>
    <i>
      <x v="91"/>
    </i>
    <i>
      <x v="142"/>
    </i>
    <i>
      <x v="172"/>
    </i>
    <i>
      <x v="44"/>
    </i>
    <i>
      <x v="178"/>
    </i>
    <i>
      <x v="167"/>
    </i>
    <i>
      <x v="14"/>
    </i>
    <i>
      <x v="169"/>
    </i>
    <i>
      <x v="98"/>
    </i>
    <i>
      <x v="99"/>
    </i>
    <i>
      <x v="190"/>
    </i>
    <i>
      <x v="179"/>
    </i>
    <i>
      <x v="95"/>
    </i>
    <i>
      <x v="97"/>
    </i>
    <i>
      <x v="94"/>
    </i>
    <i t="grand">
      <x/>
    </i>
  </rowItems>
  <colItems count="1">
    <i/>
  </colItems>
  <dataFields count="1">
    <dataField name="Count of player_of_match"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13" firstHeaderRow="1" firstDataRow="1" firstDataCol="1"/>
  <pivotFields count="21">
    <pivotField showAll="0"/>
    <pivotField showAll="0"/>
    <pivotField numFmtId="14" showAll="0"/>
    <pivotField showAll="0">
      <items count="11">
        <item x="0"/>
        <item h="1" x="1"/>
        <item h="1" x="2"/>
        <item h="1" x="3"/>
        <item h="1" x="4"/>
        <item h="1" x="5"/>
        <item h="1" x="6"/>
        <item h="1" x="7"/>
        <item h="1" x="8"/>
        <item h="1" x="9"/>
        <item t="default"/>
      </items>
    </pivotField>
    <pivotField showAll="0"/>
    <pivotField showAll="0"/>
    <pivotField showAll="0"/>
    <pivotField showAll="0"/>
    <pivotField showAll="0"/>
    <pivotField showAll="0"/>
    <pivotField showAll="0"/>
    <pivotField showAll="0"/>
    <pivotField axis="axisRow" dataField="1" showAll="0" sortType="descending">
      <items count="14">
        <item x="1"/>
        <item x="6"/>
        <item x="10"/>
        <item x="4"/>
        <item x="0"/>
        <item x="12"/>
        <item x="7"/>
        <item x="8"/>
        <item x="11"/>
        <item x="2"/>
        <item x="9"/>
        <item x="3"/>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s>
  <rowFields count="1">
    <field x="12"/>
  </rowFields>
  <rowItems count="10">
    <i>
      <x/>
    </i>
    <i>
      <x v="6"/>
    </i>
    <i>
      <x v="11"/>
    </i>
    <i>
      <x v="12"/>
    </i>
    <i>
      <x v="9"/>
    </i>
    <i>
      <x v="4"/>
    </i>
    <i>
      <x v="1"/>
    </i>
    <i>
      <x v="3"/>
    </i>
    <i>
      <x v="7"/>
    </i>
    <i t="grand">
      <x/>
    </i>
  </rowItems>
  <colItems count="1">
    <i/>
  </colItems>
  <dataFields count="1">
    <dataField name="Count of winner" fld="12" subtotal="count" baseField="0" baseItem="0"/>
  </dataFields>
  <chartFormats count="26">
    <chartFormat chart="2" format="25" series="1">
      <pivotArea type="data" outline="0" fieldPosition="0">
        <references count="1">
          <reference field="4294967294" count="1" selected="0">
            <x v="0"/>
          </reference>
        </references>
      </pivotArea>
    </chartFormat>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12" count="1" selected="0">
            <x v="4"/>
          </reference>
        </references>
      </pivotArea>
    </chartFormat>
    <chartFormat chart="5" format="15">
      <pivotArea type="data" outline="0" fieldPosition="0">
        <references count="2">
          <reference field="4294967294" count="1" selected="0">
            <x v="0"/>
          </reference>
          <reference field="12" count="1" selected="0">
            <x v="9"/>
          </reference>
        </references>
      </pivotArea>
    </chartFormat>
    <chartFormat chart="5" format="16">
      <pivotArea type="data" outline="0" fieldPosition="0">
        <references count="2">
          <reference field="4294967294" count="1" selected="0">
            <x v="0"/>
          </reference>
          <reference field="12" count="1" selected="0">
            <x v="12"/>
          </reference>
        </references>
      </pivotArea>
    </chartFormat>
    <chartFormat chart="5" format="17">
      <pivotArea type="data" outline="0" fieldPosition="0">
        <references count="2">
          <reference field="4294967294" count="1" selected="0">
            <x v="0"/>
          </reference>
          <reference field="12" count="1" selected="0">
            <x v="11"/>
          </reference>
        </references>
      </pivotArea>
    </chartFormat>
    <chartFormat chart="5" format="18">
      <pivotArea type="data" outline="0" fieldPosition="0">
        <references count="2">
          <reference field="4294967294" count="1" selected="0">
            <x v="0"/>
          </reference>
          <reference field="12" count="1" selected="0">
            <x v="1"/>
          </reference>
        </references>
      </pivotArea>
    </chartFormat>
    <chartFormat chart="5" format="19">
      <pivotArea type="data" outline="0" fieldPosition="0">
        <references count="2">
          <reference field="4294967294" count="1" selected="0">
            <x v="0"/>
          </reference>
          <reference field="12" count="1" selected="0">
            <x v="0"/>
          </reference>
        </references>
      </pivotArea>
    </chartFormat>
    <chartFormat chart="5" format="20">
      <pivotArea type="data" outline="0" fieldPosition="0">
        <references count="2">
          <reference field="4294967294" count="1" selected="0">
            <x v="0"/>
          </reference>
          <reference field="12" count="1" selected="0">
            <x v="5"/>
          </reference>
        </references>
      </pivotArea>
    </chartFormat>
    <chartFormat chart="5" format="21">
      <pivotArea type="data" outline="0" fieldPosition="0">
        <references count="2">
          <reference field="4294967294" count="1" selected="0">
            <x v="0"/>
          </reference>
          <reference field="12" count="1" selected="0">
            <x v="2"/>
          </reference>
        </references>
      </pivotArea>
    </chartFormat>
    <chartFormat chart="5" format="22">
      <pivotArea type="data" outline="0" fieldPosition="0">
        <references count="2">
          <reference field="4294967294" count="1" selected="0">
            <x v="0"/>
          </reference>
          <reference field="12" count="1" selected="0">
            <x v="8"/>
          </reference>
        </references>
      </pivotArea>
    </chartFormat>
    <chartFormat chart="5" format="23">
      <pivotArea type="data" outline="0" fieldPosition="0">
        <references count="2">
          <reference field="4294967294" count="1" selected="0">
            <x v="0"/>
          </reference>
          <reference field="12" count="1" selected="0">
            <x v="6"/>
          </reference>
        </references>
      </pivotArea>
    </chartFormat>
    <chartFormat chart="0" format="2" series="1">
      <pivotArea type="data" outline="0" fieldPosition="0">
        <references count="1">
          <reference field="4294967294" count="1" selected="0">
            <x v="0"/>
          </reference>
        </references>
      </pivotArea>
    </chartFormat>
    <chartFormat chart="5" format="24">
      <pivotArea type="data" outline="0" fieldPosition="0">
        <references count="2">
          <reference field="4294967294" count="1" selected="0">
            <x v="0"/>
          </reference>
          <reference field="12" count="1" selected="0">
            <x v="3"/>
          </reference>
        </references>
      </pivotArea>
    </chartFormat>
    <chartFormat chart="5" format="25">
      <pivotArea type="data" outline="0" fieldPosition="0">
        <references count="2">
          <reference field="4294967294" count="1" selected="0">
            <x v="0"/>
          </reference>
          <reference field="12" count="1" selected="0">
            <x v="7"/>
          </reference>
        </references>
      </pivotArea>
    </chartFormat>
    <chartFormat chart="0" format="3">
      <pivotArea type="data" outline="0" fieldPosition="0">
        <references count="2">
          <reference field="4294967294" count="1" selected="0">
            <x v="0"/>
          </reference>
          <reference field="12" count="1" selected="0">
            <x v="12"/>
          </reference>
        </references>
      </pivotArea>
    </chartFormat>
    <chartFormat chart="0" format="4">
      <pivotArea type="data" outline="0" fieldPosition="0">
        <references count="2">
          <reference field="4294967294" count="1" selected="0">
            <x v="0"/>
          </reference>
          <reference field="12" count="1" selected="0">
            <x v="11"/>
          </reference>
        </references>
      </pivotArea>
    </chartFormat>
    <chartFormat chart="0" format="5">
      <pivotArea type="data" outline="0" fieldPosition="0">
        <references count="2">
          <reference field="4294967294" count="1" selected="0">
            <x v="0"/>
          </reference>
          <reference field="12" count="1" selected="0">
            <x v="2"/>
          </reference>
        </references>
      </pivotArea>
    </chartFormat>
    <chartFormat chart="0" format="6">
      <pivotArea type="data" outline="0" fieldPosition="0">
        <references count="2">
          <reference field="4294967294" count="1" selected="0">
            <x v="0"/>
          </reference>
          <reference field="12" count="1" selected="0">
            <x v="4"/>
          </reference>
        </references>
      </pivotArea>
    </chartFormat>
    <chartFormat chart="0" format="7">
      <pivotArea type="data" outline="0" fieldPosition="0">
        <references count="2">
          <reference field="4294967294" count="1" selected="0">
            <x v="0"/>
          </reference>
          <reference field="12" count="1" selected="0">
            <x v="6"/>
          </reference>
        </references>
      </pivotArea>
    </chartFormat>
    <chartFormat chart="0" format="8">
      <pivotArea type="data" outline="0" fieldPosition="0">
        <references count="2">
          <reference field="4294967294" count="1" selected="0">
            <x v="0"/>
          </reference>
          <reference field="12" count="1" selected="0">
            <x v="1"/>
          </reference>
        </references>
      </pivotArea>
    </chartFormat>
    <chartFormat chart="0" format="9">
      <pivotArea type="data" outline="0" fieldPosition="0">
        <references count="2">
          <reference field="4294967294" count="1" selected="0">
            <x v="0"/>
          </reference>
          <reference field="12" count="1" selected="0">
            <x v="10"/>
          </reference>
        </references>
      </pivotArea>
    </chartFormat>
    <chartFormat chart="0" format="10">
      <pivotArea type="data" outline="0" fieldPosition="0">
        <references count="2">
          <reference field="4294967294" count="1" selected="0">
            <x v="0"/>
          </reference>
          <reference field="12" count="1" selected="0">
            <x v="3"/>
          </reference>
        </references>
      </pivotArea>
    </chartFormat>
    <chartFormat chart="0" format="14">
      <pivotArea type="data" outline="0" fieldPosition="0">
        <references count="2">
          <reference field="4294967294" count="1" selected="0">
            <x v="0"/>
          </reference>
          <reference field="12" count="1" selected="0">
            <x v="0"/>
          </reference>
        </references>
      </pivotArea>
    </chartFormat>
    <chartFormat chart="0" format="15">
      <pivotArea type="data" outline="0" fieldPosition="0">
        <references count="2">
          <reference field="4294967294" count="1" selected="0">
            <x v="0"/>
          </reference>
          <reference field="12" count="1" selected="0">
            <x v="9"/>
          </reference>
        </references>
      </pivotArea>
    </chartFormat>
    <chartFormat chart="0" format="16">
      <pivotArea type="data" outline="0" fieldPosition="0">
        <references count="2">
          <reference field="4294967294" count="1" selected="0">
            <x v="0"/>
          </reference>
          <reference field="1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5" firstHeaderRow="1" firstDataRow="1" firstDataCol="1"/>
  <pivotFields count="21">
    <pivotField showAll="0"/>
    <pivotField showAll="0"/>
    <pivotField numFmtId="14" showAll="0"/>
    <pivotField axis="axisRow" showAll="0">
      <items count="11">
        <item x="0"/>
        <item h="1" x="1"/>
        <item h="1" x="2"/>
        <item h="1" x="3"/>
        <item h="1" x="4"/>
        <item h="1" x="5"/>
        <item h="1" x="6"/>
        <item h="1" x="7"/>
        <item h="1" x="8"/>
        <item h="1"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2">
    <i>
      <x/>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Title Winners"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9" firstHeaderRow="1" firstDataRow="1" firstDataCol="1"/>
  <pivotFields count="5">
    <pivotField showAll="0">
      <items count="11">
        <item x="0"/>
        <item x="1"/>
        <item x="2"/>
        <item x="3"/>
        <item x="4"/>
        <item x="5"/>
        <item x="6"/>
        <item x="7"/>
        <item x="8"/>
        <item x="9"/>
        <item t="default"/>
      </items>
    </pivotField>
    <pivotField axis="axisRow" dataField="1"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
  </rowFields>
  <rowItems count="6">
    <i>
      <x v="3"/>
    </i>
    <i>
      <x/>
    </i>
    <i>
      <x v="4"/>
    </i>
    <i>
      <x v="1"/>
    </i>
    <i>
      <x v="2"/>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5" firstHeaderRow="1" firstDataRow="1" firstDataCol="1"/>
  <pivotFields count="1">
    <pivotField axis="axisRow" showAll="0">
      <items count="12">
        <item h="1" x="0"/>
        <item x="1"/>
        <item h="1" x="2"/>
        <item h="1" x="3"/>
        <item h="1" x="4"/>
        <item h="1" x="5"/>
        <item h="1" x="6"/>
        <item h="1" x="7"/>
        <item h="1" x="8"/>
        <item h="1" x="9"/>
        <item h="1" x="10"/>
        <item t="default"/>
      </items>
    </pivotField>
  </pivotFields>
  <rowFields count="1">
    <field x="0"/>
  </rowFields>
  <rowItems count="2">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ason2" sourceName="season">
  <pivotTables>
    <pivotTable tabId="14" name="PivotTable2"/>
  </pivotTables>
  <data>
    <tabular pivotCacheId="2">
      <items count="11">
        <i x="0"/>
        <i x="1" s="1"/>
        <i x="2"/>
        <i x="3"/>
        <i x="4"/>
        <i x="5"/>
        <i x="6"/>
        <i x="7"/>
        <i x="8"/>
        <i x="9"/>
        <i x="1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eason" sourceName="season">
  <pivotTables>
    <pivotTable tabId="17" name="PivotTable2"/>
    <pivotTable tabId="10" name="Toss Based"/>
    <pivotTable tabId="11" name="Top 10 venues"/>
    <pivotTable tabId="9" name="Matches win by team"/>
    <pivotTable tabId="12" name="MoM"/>
    <pivotTable tabId="19" name="PivotTable3"/>
  </pivotTables>
  <data>
    <tabular pivotCacheId="1">
      <items count="10">
        <i x="0" s="1"/>
        <i x="1"/>
        <i x="2"/>
        <i x="3"/>
        <i x="4"/>
        <i x="5"/>
        <i x="6"/>
        <i x="7"/>
        <i x="8"/>
        <i x="9"/>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ason 3" cache="Slicer_season" caption="season" startItem="3"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season" cache="Slicer_season" caption="season"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season 1" cache="Slicer_season" caption="season" startItem="3" rowHeight="234950"/>
</slicers>
</file>

<file path=xl/slicers/slicer4.xml><?xml version="1.0" encoding="utf-8"?>
<slicers xmlns="http://schemas.microsoft.com/office/spreadsheetml/2009/9/main" xmlns:mc="http://schemas.openxmlformats.org/markup-compatibility/2006" xmlns:x="http://schemas.openxmlformats.org/spreadsheetml/2006/main" mc:Ignorable="x">
  <slicer name="season 5" cache="Slicer_season" caption="season" rowHeight="234950"/>
</slicers>
</file>

<file path=xl/slicers/slicer5.xml><?xml version="1.0" encoding="utf-8"?>
<slicers xmlns="http://schemas.microsoft.com/office/spreadsheetml/2009/9/main" xmlns:mc="http://schemas.openxmlformats.org/markup-compatibility/2006" xmlns:x="http://schemas.openxmlformats.org/spreadsheetml/2006/main" mc:Ignorable="x">
  <slicer name="season 6" cache="Slicer_season" caption="season" columnCount="10" showCaption="0" style="SlicerStyleDark4" rowHeight="234950"/>
</slicers>
</file>

<file path=xl/slicers/slicer6.xml><?xml version="1.0" encoding="utf-8"?>
<slicers xmlns="http://schemas.microsoft.com/office/spreadsheetml/2009/9/main" xmlns:mc="http://schemas.openxmlformats.org/markup-compatibility/2006" xmlns:x="http://schemas.openxmlformats.org/spreadsheetml/2006/main" mc:Ignorable="x">
  <slicer name="season 2" cache="Slicer_season2" caption="season" startItem="4" rowHeight="234950"/>
</slicers>
</file>

<file path=xl/tables/table1.xml><?xml version="1.0" encoding="utf-8"?>
<table xmlns="http://schemas.openxmlformats.org/spreadsheetml/2006/main" id="1" name="Table1" displayName="Table1" ref="A1:E11" totalsRowShown="0" headerRowDxfId="26" headerRowBorderDxfId="25" tableBorderDxfId="24" totalsRowBorderDxfId="23">
  <autoFilter ref="A1:E11"/>
  <tableColumns count="5">
    <tableColumn id="1" name="Season" dataDxfId="22"/>
    <tableColumn id="2" name="Winner" dataDxfId="21"/>
    <tableColumn id="3" name="Runner-up" dataDxfId="20"/>
    <tableColumn id="4" name="Player of the Match (Final)" dataDxfId="19"/>
    <tableColumn id="5" name="Player of the Series" dataDxfId="18"/>
  </tableColumns>
  <tableStyleInfo name="TableStyleLight9" showFirstColumn="0" showLastColumn="0" showRowStripes="1" showColumnStripes="0"/>
</table>
</file>

<file path=xl/tables/table2.xml><?xml version="1.0" encoding="utf-8"?>
<table xmlns="http://schemas.openxmlformats.org/spreadsheetml/2006/main" id="3" name="Table1454" displayName="Table1454" ref="A19:E29" totalsRowShown="0" headerRowDxfId="17" headerRowBorderDxfId="16" tableBorderDxfId="15" totalsRowBorderDxfId="14">
  <autoFilter ref="A19:E29"/>
  <tableColumns count="5">
    <tableColumn id="1" name="Season" dataDxfId="13"/>
    <tableColumn id="2" name="Winner" dataDxfId="12"/>
    <tableColumn id="3" name="Runner-up" dataDxfId="11"/>
    <tableColumn id="4" name="Player of the Match (Final)" dataDxfId="10"/>
    <tableColumn id="5" name="Player of the Series" dataDxfId="9"/>
  </tableColumns>
  <tableStyleInfo name="TableStyleLight9" showFirstColumn="0" showLastColumn="0" showRowStripes="1" showColumnStripes="0"/>
</table>
</file>

<file path=xl/tables/table3.xml><?xml version="1.0" encoding="utf-8"?>
<table xmlns="http://schemas.openxmlformats.org/spreadsheetml/2006/main" id="4" name="Table145" displayName="Table145" ref="A20:E30" totalsRowShown="0" headerRowDxfId="8" headerRowBorderDxfId="7" tableBorderDxfId="6" totalsRowBorderDxfId="5">
  <autoFilter ref="A20:E30"/>
  <tableColumns count="5">
    <tableColumn id="1" name="Season" dataDxfId="4"/>
    <tableColumn id="2" name="Winner" dataDxfId="3"/>
    <tableColumn id="3" name="Runner-up" dataDxfId="2"/>
    <tableColumn id="4" name="Player of the Match (Final)" dataDxfId="1"/>
    <tableColumn id="5" name="Player of the Series"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44546A"/>
      </a:dk2>
      <a:lt2>
        <a:srgbClr val="E7E6E6"/>
      </a:lt2>
      <a:accent1>
        <a:srgbClr val="5B9BD5"/>
      </a:accent1>
      <a:accent2>
        <a:srgbClr val="FFD965"/>
      </a:accent2>
      <a:accent3>
        <a:srgbClr val="C55A11"/>
      </a:accent3>
      <a:accent4>
        <a:srgbClr val="0F09F7"/>
      </a:accent4>
      <a:accent5>
        <a:srgbClr val="A010F8"/>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ivotTable" Target="../pivotTables/pivotTable6.xml"/><Relationship Id="rId4" Type="http://schemas.microsoft.com/office/2007/relationships/slicer" Target="../slicers/slicer4.xml"/></Relationships>
</file>

<file path=xl/worksheets/_rels/sheet9.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9.xml"/><Relationship Id="rId1" Type="http://schemas.openxmlformats.org/officeDocument/2006/relationships/pivotTable" Target="../pivotTables/pivotTable8.xml"/><Relationship Id="rId4" Type="http://schemas.microsoft.com/office/2007/relationships/slicer" Target="../slicers/slicer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38"/>
  <sheetViews>
    <sheetView topLeftCell="A616" workbookViewId="0">
      <selection activeCell="G2" sqref="G2:G638"/>
    </sheetView>
  </sheetViews>
  <sheetFormatPr defaultRowHeight="15" x14ac:dyDescent="0.25"/>
  <cols>
    <col min="3" max="3" width="10.28515625" bestFit="1" customWidth="1"/>
  </cols>
  <sheetData>
    <row r="1" spans="1:21" x14ac:dyDescent="0.25">
      <c r="A1" s="1" t="s">
        <v>0</v>
      </c>
      <c r="B1" s="2" t="s">
        <v>2</v>
      </c>
      <c r="C1" s="2" t="s">
        <v>3</v>
      </c>
      <c r="D1" s="2" t="s">
        <v>1</v>
      </c>
      <c r="E1" s="2" t="s">
        <v>5</v>
      </c>
      <c r="F1" s="2" t="s">
        <v>6</v>
      </c>
      <c r="G1" s="2" t="s">
        <v>4</v>
      </c>
      <c r="H1" s="2" t="s">
        <v>360</v>
      </c>
      <c r="I1" s="2" t="s">
        <v>7</v>
      </c>
      <c r="J1" s="2" t="s">
        <v>8</v>
      </c>
      <c r="K1" s="2" t="s">
        <v>9</v>
      </c>
      <c r="L1" s="2" t="s">
        <v>10</v>
      </c>
      <c r="M1" s="2" t="s">
        <v>11</v>
      </c>
      <c r="N1" s="2" t="s">
        <v>12</v>
      </c>
      <c r="O1" s="2" t="s">
        <v>13</v>
      </c>
      <c r="P1" s="2" t="s">
        <v>14</v>
      </c>
      <c r="Q1" s="2" t="s">
        <v>15</v>
      </c>
      <c r="R1" s="2" t="s">
        <v>16</v>
      </c>
      <c r="S1" s="2" t="s">
        <v>17</v>
      </c>
      <c r="T1" s="2" t="s">
        <v>18</v>
      </c>
      <c r="U1" s="3" t="s">
        <v>19</v>
      </c>
    </row>
    <row r="2" spans="1:21" x14ac:dyDescent="0.25">
      <c r="A2" s="4">
        <v>829705</v>
      </c>
      <c r="B2" s="5" t="s">
        <v>42</v>
      </c>
      <c r="C2" s="6">
        <v>42102</v>
      </c>
      <c r="D2" s="5" t="s">
        <v>350</v>
      </c>
      <c r="E2" s="5" t="s">
        <v>112</v>
      </c>
      <c r="F2" s="5" t="s">
        <v>43</v>
      </c>
      <c r="G2" s="5" t="s">
        <v>21</v>
      </c>
      <c r="H2" s="5" t="s">
        <v>112</v>
      </c>
      <c r="I2" s="5" t="s">
        <v>25</v>
      </c>
      <c r="J2" s="5" t="s">
        <v>41</v>
      </c>
      <c r="K2" s="5" t="s">
        <v>25</v>
      </c>
      <c r="L2" s="5" t="s">
        <v>26</v>
      </c>
      <c r="M2" s="5" t="s">
        <v>25</v>
      </c>
      <c r="N2" s="5" t="s">
        <v>38</v>
      </c>
      <c r="O2" s="5">
        <v>7</v>
      </c>
      <c r="P2" s="5">
        <v>169</v>
      </c>
      <c r="Q2" s="5">
        <v>20</v>
      </c>
      <c r="R2" s="5" t="s">
        <v>28</v>
      </c>
      <c r="S2" s="5" t="s">
        <v>29</v>
      </c>
      <c r="T2" s="5" t="s">
        <v>70</v>
      </c>
      <c r="U2" s="7" t="s">
        <v>118</v>
      </c>
    </row>
    <row r="3" spans="1:21" x14ac:dyDescent="0.25">
      <c r="A3" s="4">
        <v>829707</v>
      </c>
      <c r="B3" s="5" t="s">
        <v>49</v>
      </c>
      <c r="C3" s="6">
        <v>42103</v>
      </c>
      <c r="D3" s="5" t="s">
        <v>350</v>
      </c>
      <c r="E3" s="5" t="s">
        <v>55</v>
      </c>
      <c r="F3" s="5" t="s">
        <v>50</v>
      </c>
      <c r="G3" s="5" t="s">
        <v>21</v>
      </c>
      <c r="H3" s="5" t="s">
        <v>55</v>
      </c>
      <c r="I3" s="5" t="s">
        <v>33</v>
      </c>
      <c r="J3" s="5" t="s">
        <v>229</v>
      </c>
      <c r="K3" s="5" t="s">
        <v>229</v>
      </c>
      <c r="L3" s="5" t="s">
        <v>26</v>
      </c>
      <c r="M3" s="5" t="s">
        <v>33</v>
      </c>
      <c r="N3" s="5" t="s">
        <v>27</v>
      </c>
      <c r="O3" s="5">
        <v>1</v>
      </c>
      <c r="P3" s="5">
        <v>151</v>
      </c>
      <c r="Q3" s="5">
        <v>20</v>
      </c>
      <c r="R3" s="5" t="s">
        <v>28</v>
      </c>
      <c r="S3" s="5" t="s">
        <v>29</v>
      </c>
      <c r="T3" s="5" t="s">
        <v>139</v>
      </c>
      <c r="U3" s="7" t="s">
        <v>110</v>
      </c>
    </row>
    <row r="4" spans="1:21" x14ac:dyDescent="0.25">
      <c r="A4" s="4">
        <v>829709</v>
      </c>
      <c r="B4" s="5" t="s">
        <v>111</v>
      </c>
      <c r="C4" s="6">
        <v>42104</v>
      </c>
      <c r="D4" s="5" t="s">
        <v>350</v>
      </c>
      <c r="E4" s="5" t="s">
        <v>125</v>
      </c>
      <c r="F4" s="5" t="s">
        <v>127</v>
      </c>
      <c r="G4" s="5" t="s">
        <v>21</v>
      </c>
      <c r="H4" s="5" t="s">
        <v>125</v>
      </c>
      <c r="I4" s="5" t="s">
        <v>32</v>
      </c>
      <c r="J4" s="5" t="s">
        <v>37</v>
      </c>
      <c r="K4" s="5" t="s">
        <v>32</v>
      </c>
      <c r="L4" s="5" t="s">
        <v>26</v>
      </c>
      <c r="M4" s="5" t="s">
        <v>37</v>
      </c>
      <c r="N4" s="5" t="s">
        <v>27</v>
      </c>
      <c r="O4" s="5">
        <v>26</v>
      </c>
      <c r="P4" s="5">
        <v>163</v>
      </c>
      <c r="Q4" s="5">
        <v>20</v>
      </c>
      <c r="R4" s="5" t="s">
        <v>28</v>
      </c>
      <c r="S4" s="5" t="s">
        <v>29</v>
      </c>
      <c r="T4" s="5" t="s">
        <v>154</v>
      </c>
      <c r="U4" s="7" t="s">
        <v>155</v>
      </c>
    </row>
    <row r="5" spans="1:21" x14ac:dyDescent="0.25">
      <c r="A5" s="4">
        <v>829711</v>
      </c>
      <c r="B5" s="5" t="s">
        <v>49</v>
      </c>
      <c r="C5" s="6">
        <v>42105</v>
      </c>
      <c r="D5" s="5" t="s">
        <v>350</v>
      </c>
      <c r="E5" s="5" t="s">
        <v>22</v>
      </c>
      <c r="F5" s="5" t="s">
        <v>50</v>
      </c>
      <c r="G5" s="5" t="s">
        <v>21</v>
      </c>
      <c r="H5" s="5" t="s">
        <v>22</v>
      </c>
      <c r="I5" s="5" t="s">
        <v>33</v>
      </c>
      <c r="J5" s="5" t="s">
        <v>121</v>
      </c>
      <c r="K5" s="5" t="s">
        <v>33</v>
      </c>
      <c r="L5" s="5" t="s">
        <v>34</v>
      </c>
      <c r="M5" s="5" t="s">
        <v>33</v>
      </c>
      <c r="N5" s="5" t="s">
        <v>27</v>
      </c>
      <c r="O5" s="5">
        <v>45</v>
      </c>
      <c r="P5" s="5">
        <v>210</v>
      </c>
      <c r="Q5" s="5">
        <v>20</v>
      </c>
      <c r="R5" s="5" t="s">
        <v>28</v>
      </c>
      <c r="S5" s="5" t="s">
        <v>29</v>
      </c>
      <c r="T5" s="5" t="s">
        <v>139</v>
      </c>
      <c r="U5" s="7" t="s">
        <v>110</v>
      </c>
    </row>
    <row r="6" spans="1:21" x14ac:dyDescent="0.25">
      <c r="A6" s="4">
        <v>829713</v>
      </c>
      <c r="B6" s="5" t="s">
        <v>42</v>
      </c>
      <c r="C6" s="6">
        <v>42105</v>
      </c>
      <c r="D6" s="5" t="s">
        <v>350</v>
      </c>
      <c r="E6" s="5" t="s">
        <v>62</v>
      </c>
      <c r="F6" s="5" t="s">
        <v>43</v>
      </c>
      <c r="G6" s="5" t="s">
        <v>21</v>
      </c>
      <c r="H6" s="5" t="s">
        <v>62</v>
      </c>
      <c r="I6" s="5" t="s">
        <v>25</v>
      </c>
      <c r="J6" s="5" t="s">
        <v>24</v>
      </c>
      <c r="K6" s="5" t="s">
        <v>24</v>
      </c>
      <c r="L6" s="5" t="s">
        <v>26</v>
      </c>
      <c r="M6" s="5" t="s">
        <v>24</v>
      </c>
      <c r="N6" s="5" t="s">
        <v>38</v>
      </c>
      <c r="O6" s="5">
        <v>3</v>
      </c>
      <c r="P6" s="5">
        <v>178</v>
      </c>
      <c r="Q6" s="5">
        <v>20</v>
      </c>
      <c r="R6" s="5" t="s">
        <v>28</v>
      </c>
      <c r="S6" s="5" t="s">
        <v>29</v>
      </c>
      <c r="T6" s="5" t="s">
        <v>70</v>
      </c>
      <c r="U6" s="7" t="s">
        <v>118</v>
      </c>
    </row>
    <row r="7" spans="1:21" x14ac:dyDescent="0.25">
      <c r="A7" s="4">
        <v>829715</v>
      </c>
      <c r="B7" s="5" t="s">
        <v>35</v>
      </c>
      <c r="C7" s="6">
        <v>42106</v>
      </c>
      <c r="D7" s="5" t="s">
        <v>350</v>
      </c>
      <c r="E7" s="5" t="s">
        <v>156</v>
      </c>
      <c r="F7" s="5" t="s">
        <v>36</v>
      </c>
      <c r="G7" s="5" t="s">
        <v>21</v>
      </c>
      <c r="H7" s="5" t="s">
        <v>156</v>
      </c>
      <c r="I7" s="5" t="s">
        <v>229</v>
      </c>
      <c r="J7" s="5" t="s">
        <v>37</v>
      </c>
      <c r="K7" s="5" t="s">
        <v>37</v>
      </c>
      <c r="L7" s="5" t="s">
        <v>26</v>
      </c>
      <c r="M7" s="5" t="s">
        <v>37</v>
      </c>
      <c r="N7" s="5" t="s">
        <v>38</v>
      </c>
      <c r="O7" s="5">
        <v>3</v>
      </c>
      <c r="P7" s="5">
        <v>185</v>
      </c>
      <c r="Q7" s="5">
        <v>20</v>
      </c>
      <c r="R7" s="5" t="s">
        <v>28</v>
      </c>
      <c r="S7" s="5" t="s">
        <v>29</v>
      </c>
      <c r="T7" s="5" t="s">
        <v>154</v>
      </c>
      <c r="U7" s="7" t="s">
        <v>155</v>
      </c>
    </row>
    <row r="8" spans="1:21" x14ac:dyDescent="0.25">
      <c r="A8" s="4">
        <v>829717</v>
      </c>
      <c r="B8" s="5" t="s">
        <v>39</v>
      </c>
      <c r="C8" s="6">
        <v>42106</v>
      </c>
      <c r="D8" s="5" t="s">
        <v>350</v>
      </c>
      <c r="E8" s="5" t="s">
        <v>157</v>
      </c>
      <c r="F8" s="5" t="s">
        <v>40</v>
      </c>
      <c r="G8" s="5" t="s">
        <v>21</v>
      </c>
      <c r="H8" s="5" t="s">
        <v>157</v>
      </c>
      <c r="I8" s="5" t="s">
        <v>41</v>
      </c>
      <c r="J8" s="5" t="s">
        <v>32</v>
      </c>
      <c r="K8" s="5" t="s">
        <v>41</v>
      </c>
      <c r="L8" s="5" t="s">
        <v>26</v>
      </c>
      <c r="M8" s="5" t="s">
        <v>32</v>
      </c>
      <c r="N8" s="5" t="s">
        <v>27</v>
      </c>
      <c r="O8" s="5">
        <v>18</v>
      </c>
      <c r="P8" s="5">
        <v>178</v>
      </c>
      <c r="Q8" s="5">
        <v>20</v>
      </c>
      <c r="R8" s="5" t="s">
        <v>28</v>
      </c>
      <c r="S8" s="5" t="s">
        <v>29</v>
      </c>
      <c r="T8" s="5" t="s">
        <v>105</v>
      </c>
      <c r="U8" s="7" t="s">
        <v>158</v>
      </c>
    </row>
    <row r="9" spans="1:21" x14ac:dyDescent="0.25">
      <c r="A9" s="4">
        <v>829719</v>
      </c>
      <c r="B9" s="5" t="s">
        <v>20</v>
      </c>
      <c r="C9" s="6">
        <v>42107</v>
      </c>
      <c r="D9" s="5" t="s">
        <v>350</v>
      </c>
      <c r="E9" s="5" t="s">
        <v>82</v>
      </c>
      <c r="F9" s="5" t="s">
        <v>23</v>
      </c>
      <c r="G9" s="5" t="s">
        <v>21</v>
      </c>
      <c r="H9" s="5" t="s">
        <v>82</v>
      </c>
      <c r="I9" s="5" t="s">
        <v>24</v>
      </c>
      <c r="J9" s="5" t="s">
        <v>121</v>
      </c>
      <c r="K9" s="5" t="s">
        <v>121</v>
      </c>
      <c r="L9" s="5" t="s">
        <v>26</v>
      </c>
      <c r="M9" s="5" t="s">
        <v>121</v>
      </c>
      <c r="N9" s="5" t="s">
        <v>38</v>
      </c>
      <c r="O9" s="5">
        <v>8</v>
      </c>
      <c r="P9" s="5">
        <v>167</v>
      </c>
      <c r="Q9" s="5">
        <v>20</v>
      </c>
      <c r="R9" s="5" t="s">
        <v>28</v>
      </c>
      <c r="S9" s="5" t="s">
        <v>29</v>
      </c>
      <c r="T9" s="5" t="s">
        <v>150</v>
      </c>
      <c r="U9" s="7" t="s">
        <v>139</v>
      </c>
    </row>
    <row r="10" spans="1:21" x14ac:dyDescent="0.25">
      <c r="A10" s="4">
        <v>829721</v>
      </c>
      <c r="B10" s="5" t="s">
        <v>77</v>
      </c>
      <c r="C10" s="6">
        <v>42108</v>
      </c>
      <c r="D10" s="5" t="s">
        <v>350</v>
      </c>
      <c r="E10" s="5" t="s">
        <v>104</v>
      </c>
      <c r="F10" s="5" t="s">
        <v>78</v>
      </c>
      <c r="G10" s="5" t="s">
        <v>21</v>
      </c>
      <c r="H10" s="5" t="s">
        <v>104</v>
      </c>
      <c r="I10" s="5" t="s">
        <v>37</v>
      </c>
      <c r="J10" s="5" t="s">
        <v>41</v>
      </c>
      <c r="K10" s="5" t="s">
        <v>41</v>
      </c>
      <c r="L10" s="5" t="s">
        <v>34</v>
      </c>
      <c r="M10" s="5" t="s">
        <v>37</v>
      </c>
      <c r="N10" s="5" t="s">
        <v>38</v>
      </c>
      <c r="O10" s="5">
        <v>7</v>
      </c>
      <c r="P10" s="5">
        <v>165</v>
      </c>
      <c r="Q10" s="5">
        <v>20</v>
      </c>
      <c r="R10" s="5" t="s">
        <v>28</v>
      </c>
      <c r="S10" s="5" t="s">
        <v>29</v>
      </c>
      <c r="T10" s="5" t="s">
        <v>105</v>
      </c>
      <c r="U10" s="7" t="s">
        <v>154</v>
      </c>
    </row>
    <row r="11" spans="1:21" x14ac:dyDescent="0.25">
      <c r="A11" s="4">
        <v>829725</v>
      </c>
      <c r="B11" s="5" t="s">
        <v>111</v>
      </c>
      <c r="C11" s="6">
        <v>42109</v>
      </c>
      <c r="D11" s="5" t="s">
        <v>350</v>
      </c>
      <c r="E11" s="5" t="s">
        <v>159</v>
      </c>
      <c r="F11" s="5" t="s">
        <v>127</v>
      </c>
      <c r="G11" s="5" t="s">
        <v>21</v>
      </c>
      <c r="H11" s="5" t="s">
        <v>159</v>
      </c>
      <c r="I11" s="5" t="s">
        <v>32</v>
      </c>
      <c r="J11" s="5" t="s">
        <v>229</v>
      </c>
      <c r="K11" s="5" t="s">
        <v>32</v>
      </c>
      <c r="L11" s="5" t="s">
        <v>34</v>
      </c>
      <c r="M11" s="5" t="s">
        <v>229</v>
      </c>
      <c r="N11" s="5" t="s">
        <v>38</v>
      </c>
      <c r="O11" s="5">
        <v>5</v>
      </c>
      <c r="P11" s="5">
        <v>166</v>
      </c>
      <c r="Q11" s="5">
        <v>20</v>
      </c>
      <c r="R11" s="5" t="s">
        <v>28</v>
      </c>
      <c r="S11" s="5" t="s">
        <v>29</v>
      </c>
      <c r="T11" s="5" t="s">
        <v>155</v>
      </c>
      <c r="U11" s="7" t="s">
        <v>124</v>
      </c>
    </row>
    <row r="12" spans="1:21" x14ac:dyDescent="0.25">
      <c r="A12" s="4">
        <v>829727</v>
      </c>
      <c r="B12" s="5" t="s">
        <v>107</v>
      </c>
      <c r="C12" s="6">
        <v>42110</v>
      </c>
      <c r="D12" s="5" t="s">
        <v>350</v>
      </c>
      <c r="E12" s="5" t="s">
        <v>106</v>
      </c>
      <c r="F12" s="5" t="s">
        <v>109</v>
      </c>
      <c r="G12" s="5" t="s">
        <v>21</v>
      </c>
      <c r="H12" s="5" t="s">
        <v>106</v>
      </c>
      <c r="I12" s="5" t="s">
        <v>121</v>
      </c>
      <c r="J12" s="5" t="s">
        <v>37</v>
      </c>
      <c r="K12" s="5" t="s">
        <v>37</v>
      </c>
      <c r="L12" s="5" t="s">
        <v>26</v>
      </c>
      <c r="M12" s="5" t="s">
        <v>37</v>
      </c>
      <c r="N12" s="5" t="s">
        <v>38</v>
      </c>
      <c r="O12" s="5">
        <v>6</v>
      </c>
      <c r="P12" s="5">
        <v>128</v>
      </c>
      <c r="Q12" s="5">
        <v>20</v>
      </c>
      <c r="R12" s="5" t="s">
        <v>28</v>
      </c>
      <c r="S12" s="5" t="s">
        <v>29</v>
      </c>
      <c r="T12" s="5" t="s">
        <v>151</v>
      </c>
      <c r="U12" s="7" t="s">
        <v>70</v>
      </c>
    </row>
    <row r="13" spans="1:21" x14ac:dyDescent="0.25">
      <c r="A13" s="4">
        <v>829729</v>
      </c>
      <c r="B13" s="5" t="s">
        <v>39</v>
      </c>
      <c r="C13" s="6">
        <v>42111</v>
      </c>
      <c r="D13" s="5" t="s">
        <v>350</v>
      </c>
      <c r="E13" s="5" t="s">
        <v>55</v>
      </c>
      <c r="F13" s="5" t="s">
        <v>40</v>
      </c>
      <c r="G13" s="5" t="s">
        <v>21</v>
      </c>
      <c r="H13" s="5" t="s">
        <v>55</v>
      </c>
      <c r="I13" s="5" t="s">
        <v>41</v>
      </c>
      <c r="J13" s="5" t="s">
        <v>33</v>
      </c>
      <c r="K13" s="5" t="s">
        <v>41</v>
      </c>
      <c r="L13" s="5" t="s">
        <v>34</v>
      </c>
      <c r="M13" s="5" t="s">
        <v>33</v>
      </c>
      <c r="N13" s="5" t="s">
        <v>38</v>
      </c>
      <c r="O13" s="5">
        <v>6</v>
      </c>
      <c r="P13" s="5">
        <v>184</v>
      </c>
      <c r="Q13" s="5">
        <v>20</v>
      </c>
      <c r="R13" s="5" t="s">
        <v>28</v>
      </c>
      <c r="S13" s="5" t="s">
        <v>29</v>
      </c>
      <c r="T13" s="5" t="s">
        <v>105</v>
      </c>
      <c r="U13" s="7" t="s">
        <v>63</v>
      </c>
    </row>
    <row r="14" spans="1:21" x14ac:dyDescent="0.25">
      <c r="A14" s="4">
        <v>829731</v>
      </c>
      <c r="B14" s="5" t="s">
        <v>107</v>
      </c>
      <c r="C14" s="6">
        <v>42112</v>
      </c>
      <c r="D14" s="5" t="s">
        <v>350</v>
      </c>
      <c r="E14" s="5" t="s">
        <v>68</v>
      </c>
      <c r="F14" s="5" t="s">
        <v>109</v>
      </c>
      <c r="G14" s="5" t="s">
        <v>21</v>
      </c>
      <c r="H14" s="5" t="s">
        <v>68</v>
      </c>
      <c r="I14" s="5" t="s">
        <v>121</v>
      </c>
      <c r="J14" s="5" t="s">
        <v>229</v>
      </c>
      <c r="K14" s="5" t="s">
        <v>229</v>
      </c>
      <c r="L14" s="5" t="s">
        <v>34</v>
      </c>
      <c r="M14" s="5" t="s">
        <v>229</v>
      </c>
      <c r="N14" s="5" t="s">
        <v>27</v>
      </c>
      <c r="O14" s="5">
        <v>4</v>
      </c>
      <c r="P14" s="5">
        <v>168</v>
      </c>
      <c r="Q14" s="5">
        <v>20</v>
      </c>
      <c r="R14" s="5" t="s">
        <v>28</v>
      </c>
      <c r="S14" s="5" t="s">
        <v>29</v>
      </c>
      <c r="T14" s="5" t="s">
        <v>151</v>
      </c>
      <c r="U14" s="7" t="s">
        <v>70</v>
      </c>
    </row>
    <row r="15" spans="1:21" x14ac:dyDescent="0.25">
      <c r="A15" s="4">
        <v>829733</v>
      </c>
      <c r="B15" s="5" t="s">
        <v>111</v>
      </c>
      <c r="C15" s="6">
        <v>42112</v>
      </c>
      <c r="D15" s="5" t="s">
        <v>350</v>
      </c>
      <c r="E15" s="5" t="s">
        <v>160</v>
      </c>
      <c r="F15" s="5" t="s">
        <v>127</v>
      </c>
      <c r="G15" s="5" t="s">
        <v>21</v>
      </c>
      <c r="H15" s="5" t="s">
        <v>160</v>
      </c>
      <c r="I15" s="5" t="s">
        <v>32</v>
      </c>
      <c r="J15" s="5" t="s">
        <v>25</v>
      </c>
      <c r="K15" s="5" t="s">
        <v>25</v>
      </c>
      <c r="L15" s="5" t="s">
        <v>26</v>
      </c>
      <c r="M15" s="5" t="s">
        <v>25</v>
      </c>
      <c r="N15" s="5" t="s">
        <v>38</v>
      </c>
      <c r="O15" s="5">
        <v>4</v>
      </c>
      <c r="P15" s="5">
        <v>156</v>
      </c>
      <c r="Q15" s="5">
        <v>20</v>
      </c>
      <c r="R15" s="5" t="s">
        <v>28</v>
      </c>
      <c r="S15" s="5" t="s">
        <v>29</v>
      </c>
      <c r="T15" s="5" t="s">
        <v>154</v>
      </c>
      <c r="U15" s="7" t="s">
        <v>126</v>
      </c>
    </row>
    <row r="16" spans="1:21" x14ac:dyDescent="0.25">
      <c r="A16" s="4">
        <v>829735</v>
      </c>
      <c r="B16" s="5" t="s">
        <v>77</v>
      </c>
      <c r="C16" s="6">
        <v>42113</v>
      </c>
      <c r="D16" s="5" t="s">
        <v>350</v>
      </c>
      <c r="E16" s="5" t="s">
        <v>106</v>
      </c>
      <c r="F16" s="5" t="s">
        <v>78</v>
      </c>
      <c r="G16" s="5" t="s">
        <v>21</v>
      </c>
      <c r="H16" s="5" t="s">
        <v>106</v>
      </c>
      <c r="I16" s="5" t="s">
        <v>37</v>
      </c>
      <c r="J16" s="5" t="s">
        <v>33</v>
      </c>
      <c r="K16" s="5" t="s">
        <v>33</v>
      </c>
      <c r="L16" s="5" t="s">
        <v>34</v>
      </c>
      <c r="M16" s="5" t="s">
        <v>37</v>
      </c>
      <c r="N16" s="5" t="s">
        <v>38</v>
      </c>
      <c r="O16" s="5">
        <v>8</v>
      </c>
      <c r="P16" s="5">
        <v>157</v>
      </c>
      <c r="Q16" s="5">
        <v>20</v>
      </c>
      <c r="R16" s="5" t="s">
        <v>28</v>
      </c>
      <c r="S16" s="5" t="s">
        <v>29</v>
      </c>
      <c r="T16" s="5" t="s">
        <v>105</v>
      </c>
      <c r="U16" s="7" t="s">
        <v>63</v>
      </c>
    </row>
    <row r="17" spans="1:21" x14ac:dyDescent="0.25">
      <c r="A17" s="4">
        <v>829737</v>
      </c>
      <c r="B17" s="5" t="s">
        <v>20</v>
      </c>
      <c r="C17" s="6">
        <v>42113</v>
      </c>
      <c r="D17" s="5" t="s">
        <v>350</v>
      </c>
      <c r="E17" s="5" t="s">
        <v>74</v>
      </c>
      <c r="F17" s="5" t="s">
        <v>23</v>
      </c>
      <c r="G17" s="5" t="s">
        <v>21</v>
      </c>
      <c r="H17" s="5" t="s">
        <v>74</v>
      </c>
      <c r="I17" s="5" t="s">
        <v>24</v>
      </c>
      <c r="J17" s="5" t="s">
        <v>41</v>
      </c>
      <c r="K17" s="5" t="s">
        <v>24</v>
      </c>
      <c r="L17" s="5" t="s">
        <v>26</v>
      </c>
      <c r="M17" s="5" t="s">
        <v>41</v>
      </c>
      <c r="N17" s="5" t="s">
        <v>27</v>
      </c>
      <c r="O17" s="5">
        <v>18</v>
      </c>
      <c r="P17" s="5">
        <v>210</v>
      </c>
      <c r="Q17" s="5">
        <v>20</v>
      </c>
      <c r="R17" s="5" t="s">
        <v>28</v>
      </c>
      <c r="S17" s="5" t="s">
        <v>29</v>
      </c>
      <c r="T17" s="5" t="s">
        <v>139</v>
      </c>
      <c r="U17" s="7" t="s">
        <v>110</v>
      </c>
    </row>
    <row r="18" spans="1:21" x14ac:dyDescent="0.25">
      <c r="A18" s="4">
        <v>829739</v>
      </c>
      <c r="B18" s="5" t="s">
        <v>35</v>
      </c>
      <c r="C18" s="6">
        <v>42114</v>
      </c>
      <c r="D18" s="5" t="s">
        <v>350</v>
      </c>
      <c r="E18" s="5" t="s">
        <v>120</v>
      </c>
      <c r="F18" s="5" t="s">
        <v>36</v>
      </c>
      <c r="G18" s="5" t="s">
        <v>21</v>
      </c>
      <c r="H18" s="5" t="s">
        <v>120</v>
      </c>
      <c r="I18" s="5" t="s">
        <v>229</v>
      </c>
      <c r="J18" s="5" t="s">
        <v>25</v>
      </c>
      <c r="K18" s="5" t="s">
        <v>25</v>
      </c>
      <c r="L18" s="5" t="s">
        <v>26</v>
      </c>
      <c r="M18" s="5" t="s">
        <v>25</v>
      </c>
      <c r="N18" s="5" t="s">
        <v>38</v>
      </c>
      <c r="O18" s="5">
        <v>6</v>
      </c>
      <c r="P18" s="5">
        <v>147</v>
      </c>
      <c r="Q18" s="5">
        <v>20</v>
      </c>
      <c r="R18" s="5" t="s">
        <v>28</v>
      </c>
      <c r="S18" s="5" t="s">
        <v>29</v>
      </c>
      <c r="T18" s="5" t="s">
        <v>154</v>
      </c>
      <c r="U18" s="7" t="s">
        <v>155</v>
      </c>
    </row>
    <row r="19" spans="1:21" x14ac:dyDescent="0.25">
      <c r="A19" s="4">
        <v>829741</v>
      </c>
      <c r="B19" s="5" t="s">
        <v>77</v>
      </c>
      <c r="C19" s="6">
        <v>42115</v>
      </c>
      <c r="D19" s="5" t="s">
        <v>350</v>
      </c>
      <c r="E19" s="5" t="s">
        <v>53</v>
      </c>
      <c r="F19" s="5" t="s">
        <v>78</v>
      </c>
      <c r="G19" s="5" t="s">
        <v>21</v>
      </c>
      <c r="H19" s="5" t="s">
        <v>53</v>
      </c>
      <c r="I19" s="5" t="s">
        <v>37</v>
      </c>
      <c r="J19" s="5" t="s">
        <v>32</v>
      </c>
      <c r="K19" s="5" t="s">
        <v>32</v>
      </c>
      <c r="L19" s="5" t="s">
        <v>26</v>
      </c>
      <c r="M19" s="5" t="s">
        <v>32</v>
      </c>
      <c r="N19" s="5" t="s">
        <v>65</v>
      </c>
      <c r="O19" s="5" t="s">
        <v>29</v>
      </c>
      <c r="P19" s="5">
        <v>192</v>
      </c>
      <c r="Q19" s="5">
        <v>20</v>
      </c>
      <c r="R19" s="5" t="s">
        <v>66</v>
      </c>
      <c r="S19" s="5" t="s">
        <v>29</v>
      </c>
      <c r="T19" s="5" t="s">
        <v>63</v>
      </c>
      <c r="U19" s="7" t="s">
        <v>70</v>
      </c>
    </row>
    <row r="20" spans="1:21" x14ac:dyDescent="0.25">
      <c r="A20" s="4">
        <v>829743</v>
      </c>
      <c r="B20" s="5" t="s">
        <v>107</v>
      </c>
      <c r="C20" s="6">
        <v>42116</v>
      </c>
      <c r="D20" s="5" t="s">
        <v>350</v>
      </c>
      <c r="E20" s="5" t="s">
        <v>82</v>
      </c>
      <c r="F20" s="5" t="s">
        <v>109</v>
      </c>
      <c r="G20" s="5" t="s">
        <v>21</v>
      </c>
      <c r="H20" s="5" t="s">
        <v>82</v>
      </c>
      <c r="I20" s="5" t="s">
        <v>121</v>
      </c>
      <c r="J20" s="5" t="s">
        <v>25</v>
      </c>
      <c r="K20" s="5" t="s">
        <v>25</v>
      </c>
      <c r="L20" s="5" t="s">
        <v>26</v>
      </c>
      <c r="M20" s="5" t="s">
        <v>121</v>
      </c>
      <c r="N20" s="5" t="s">
        <v>27</v>
      </c>
      <c r="O20" s="5">
        <v>16</v>
      </c>
      <c r="P20" s="5">
        <v>118</v>
      </c>
      <c r="Q20" s="5">
        <v>12</v>
      </c>
      <c r="R20" s="5" t="s">
        <v>28</v>
      </c>
      <c r="S20" s="5" t="s">
        <v>57</v>
      </c>
      <c r="T20" s="5" t="s">
        <v>139</v>
      </c>
      <c r="U20" s="7" t="s">
        <v>110</v>
      </c>
    </row>
    <row r="21" spans="1:21" x14ac:dyDescent="0.25">
      <c r="A21" s="4">
        <v>829745</v>
      </c>
      <c r="B21" s="5" t="s">
        <v>20</v>
      </c>
      <c r="C21" s="6">
        <v>42116</v>
      </c>
      <c r="D21" s="5" t="s">
        <v>350</v>
      </c>
      <c r="E21" s="5" t="s">
        <v>60</v>
      </c>
      <c r="F21" s="5" t="s">
        <v>23</v>
      </c>
      <c r="G21" s="5" t="s">
        <v>21</v>
      </c>
      <c r="H21" s="5" t="s">
        <v>60</v>
      </c>
      <c r="I21" s="5" t="s">
        <v>24</v>
      </c>
      <c r="J21" s="5" t="s">
        <v>33</v>
      </c>
      <c r="K21" s="5" t="s">
        <v>24</v>
      </c>
      <c r="L21" s="5" t="s">
        <v>26</v>
      </c>
      <c r="M21" s="5" t="s">
        <v>33</v>
      </c>
      <c r="N21" s="5" t="s">
        <v>27</v>
      </c>
      <c r="O21" s="5">
        <v>27</v>
      </c>
      <c r="P21" s="5">
        <v>182</v>
      </c>
      <c r="Q21" s="5">
        <v>20</v>
      </c>
      <c r="R21" s="5" t="s">
        <v>28</v>
      </c>
      <c r="S21" s="5" t="s">
        <v>29</v>
      </c>
      <c r="T21" s="5" t="s">
        <v>103</v>
      </c>
      <c r="U21" s="7" t="s">
        <v>118</v>
      </c>
    </row>
    <row r="22" spans="1:21" x14ac:dyDescent="0.25">
      <c r="A22" s="4">
        <v>829747</v>
      </c>
      <c r="B22" s="5" t="s">
        <v>35</v>
      </c>
      <c r="C22" s="6">
        <v>42117</v>
      </c>
      <c r="D22" s="5" t="s">
        <v>350</v>
      </c>
      <c r="E22" s="5" t="s">
        <v>161</v>
      </c>
      <c r="F22" s="5" t="s">
        <v>36</v>
      </c>
      <c r="G22" s="5" t="s">
        <v>21</v>
      </c>
      <c r="H22" s="5" t="s">
        <v>161</v>
      </c>
      <c r="I22" s="5" t="s">
        <v>229</v>
      </c>
      <c r="J22" s="5" t="s">
        <v>41</v>
      </c>
      <c r="K22" s="5" t="s">
        <v>41</v>
      </c>
      <c r="L22" s="5" t="s">
        <v>26</v>
      </c>
      <c r="M22" s="5" t="s">
        <v>229</v>
      </c>
      <c r="N22" s="5" t="s">
        <v>27</v>
      </c>
      <c r="O22" s="5">
        <v>37</v>
      </c>
      <c r="P22" s="5">
        <v>191</v>
      </c>
      <c r="Q22" s="5">
        <v>20</v>
      </c>
      <c r="R22" s="5" t="s">
        <v>28</v>
      </c>
      <c r="S22" s="5" t="s">
        <v>29</v>
      </c>
      <c r="T22" s="5" t="s">
        <v>154</v>
      </c>
      <c r="U22" s="7" t="s">
        <v>126</v>
      </c>
    </row>
    <row r="23" spans="1:21" x14ac:dyDescent="0.25">
      <c r="A23" s="4">
        <v>829749</v>
      </c>
      <c r="B23" s="5" t="s">
        <v>77</v>
      </c>
      <c r="C23" s="6">
        <v>42118</v>
      </c>
      <c r="D23" s="5" t="s">
        <v>350</v>
      </c>
      <c r="E23" s="5" t="s">
        <v>162</v>
      </c>
      <c r="F23" s="5" t="s">
        <v>78</v>
      </c>
      <c r="G23" s="5" t="s">
        <v>21</v>
      </c>
      <c r="H23" s="5" t="s">
        <v>162</v>
      </c>
      <c r="I23" s="5" t="s">
        <v>37</v>
      </c>
      <c r="J23" s="5" t="s">
        <v>24</v>
      </c>
      <c r="K23" s="5" t="s">
        <v>24</v>
      </c>
      <c r="L23" s="5" t="s">
        <v>26</v>
      </c>
      <c r="M23" s="5" t="s">
        <v>24</v>
      </c>
      <c r="N23" s="5" t="s">
        <v>38</v>
      </c>
      <c r="O23" s="5">
        <v>9</v>
      </c>
      <c r="P23" s="5">
        <v>131</v>
      </c>
      <c r="Q23" s="5">
        <v>20</v>
      </c>
      <c r="R23" s="5" t="s">
        <v>28</v>
      </c>
      <c r="S23" s="5" t="s">
        <v>29</v>
      </c>
      <c r="T23" s="5" t="s">
        <v>63</v>
      </c>
      <c r="U23" s="7" t="s">
        <v>70</v>
      </c>
    </row>
    <row r="24" spans="1:21" x14ac:dyDescent="0.25">
      <c r="A24" s="4">
        <v>829751</v>
      </c>
      <c r="B24" s="5" t="s">
        <v>39</v>
      </c>
      <c r="C24" s="6">
        <v>42119</v>
      </c>
      <c r="D24" s="5" t="s">
        <v>350</v>
      </c>
      <c r="E24" s="5" t="s">
        <v>83</v>
      </c>
      <c r="F24" s="5" t="s">
        <v>40</v>
      </c>
      <c r="G24" s="5" t="s">
        <v>21</v>
      </c>
      <c r="H24" s="5" t="s">
        <v>83</v>
      </c>
      <c r="I24" s="5" t="s">
        <v>41</v>
      </c>
      <c r="J24" s="5" t="s">
        <v>121</v>
      </c>
      <c r="K24" s="5" t="s">
        <v>41</v>
      </c>
      <c r="L24" s="5" t="s">
        <v>34</v>
      </c>
      <c r="M24" s="5" t="s">
        <v>41</v>
      </c>
      <c r="N24" s="5" t="s">
        <v>27</v>
      </c>
      <c r="O24" s="5">
        <v>20</v>
      </c>
      <c r="P24" s="5">
        <v>158</v>
      </c>
      <c r="Q24" s="5">
        <v>20</v>
      </c>
      <c r="R24" s="5" t="s">
        <v>28</v>
      </c>
      <c r="S24" s="5" t="s">
        <v>29</v>
      </c>
      <c r="T24" s="5" t="s">
        <v>67</v>
      </c>
      <c r="U24" s="7" t="s">
        <v>155</v>
      </c>
    </row>
    <row r="25" spans="1:21" x14ac:dyDescent="0.25">
      <c r="A25" s="4">
        <v>829753</v>
      </c>
      <c r="B25" s="5" t="s">
        <v>49</v>
      </c>
      <c r="C25" s="6">
        <v>42119</v>
      </c>
      <c r="D25" s="5" t="s">
        <v>350</v>
      </c>
      <c r="E25" s="5" t="s">
        <v>22</v>
      </c>
      <c r="F25" s="5" t="s">
        <v>50</v>
      </c>
      <c r="G25" s="5" t="s">
        <v>21</v>
      </c>
      <c r="H25" s="5" t="s">
        <v>22</v>
      </c>
      <c r="I25" s="5" t="s">
        <v>33</v>
      </c>
      <c r="J25" s="5" t="s">
        <v>32</v>
      </c>
      <c r="K25" s="5" t="s">
        <v>33</v>
      </c>
      <c r="L25" s="5" t="s">
        <v>34</v>
      </c>
      <c r="M25" s="5" t="s">
        <v>33</v>
      </c>
      <c r="N25" s="5" t="s">
        <v>27</v>
      </c>
      <c r="O25" s="5">
        <v>97</v>
      </c>
      <c r="P25" s="5">
        <v>193</v>
      </c>
      <c r="Q25" s="5">
        <v>20</v>
      </c>
      <c r="R25" s="5" t="s">
        <v>28</v>
      </c>
      <c r="S25" s="5" t="s">
        <v>29</v>
      </c>
      <c r="T25" s="5" t="s">
        <v>103</v>
      </c>
      <c r="U25" s="7" t="s">
        <v>118</v>
      </c>
    </row>
    <row r="26" spans="1:21" x14ac:dyDescent="0.25">
      <c r="A26" s="4">
        <v>829757</v>
      </c>
      <c r="B26" s="5" t="s">
        <v>35</v>
      </c>
      <c r="C26" s="6">
        <v>42120</v>
      </c>
      <c r="D26" s="5" t="s">
        <v>350</v>
      </c>
      <c r="E26" s="5" t="s">
        <v>163</v>
      </c>
      <c r="F26" s="5" t="s">
        <v>36</v>
      </c>
      <c r="G26" s="5" t="s">
        <v>21</v>
      </c>
      <c r="H26" s="5" t="s">
        <v>163</v>
      </c>
      <c r="I26" s="5" t="s">
        <v>229</v>
      </c>
      <c r="J26" s="5" t="s">
        <v>24</v>
      </c>
      <c r="K26" s="5" t="s">
        <v>24</v>
      </c>
      <c r="L26" s="5" t="s">
        <v>26</v>
      </c>
      <c r="M26" s="5" t="s">
        <v>24</v>
      </c>
      <c r="N26" s="5" t="s">
        <v>38</v>
      </c>
      <c r="O26" s="5">
        <v>10</v>
      </c>
      <c r="P26" s="5">
        <v>96</v>
      </c>
      <c r="Q26" s="5">
        <v>20</v>
      </c>
      <c r="R26" s="5" t="s">
        <v>28</v>
      </c>
      <c r="S26" s="5" t="s">
        <v>29</v>
      </c>
      <c r="T26" s="5" t="s">
        <v>63</v>
      </c>
      <c r="U26" s="7" t="s">
        <v>70</v>
      </c>
    </row>
    <row r="27" spans="1:21" x14ac:dyDescent="0.25">
      <c r="A27" s="4">
        <v>829759</v>
      </c>
      <c r="B27" s="5" t="s">
        <v>30</v>
      </c>
      <c r="C27" s="6">
        <v>42121</v>
      </c>
      <c r="D27" s="5" t="s">
        <v>350</v>
      </c>
      <c r="E27" s="5" t="s">
        <v>164</v>
      </c>
      <c r="F27" s="5" t="s">
        <v>31</v>
      </c>
      <c r="G27" s="5" t="s">
        <v>21</v>
      </c>
      <c r="H27" s="5" t="s">
        <v>164</v>
      </c>
      <c r="I27" s="5" t="s">
        <v>32</v>
      </c>
      <c r="J27" s="5" t="s">
        <v>121</v>
      </c>
      <c r="K27" s="5" t="s">
        <v>32</v>
      </c>
      <c r="L27" s="5" t="s">
        <v>26</v>
      </c>
      <c r="M27" s="5" t="s">
        <v>121</v>
      </c>
      <c r="N27" s="5" t="s">
        <v>27</v>
      </c>
      <c r="O27" s="5">
        <v>20</v>
      </c>
      <c r="P27" s="5">
        <v>151</v>
      </c>
      <c r="Q27" s="5">
        <v>20</v>
      </c>
      <c r="R27" s="5" t="s">
        <v>28</v>
      </c>
      <c r="S27" s="5" t="s">
        <v>29</v>
      </c>
      <c r="T27" s="5" t="s">
        <v>67</v>
      </c>
      <c r="U27" s="7" t="s">
        <v>155</v>
      </c>
    </row>
    <row r="28" spans="1:21" x14ac:dyDescent="0.25">
      <c r="A28" s="4">
        <v>829765</v>
      </c>
      <c r="B28" s="5" t="s">
        <v>49</v>
      </c>
      <c r="C28" s="6">
        <v>42122</v>
      </c>
      <c r="D28" s="5" t="s">
        <v>350</v>
      </c>
      <c r="E28" s="5" t="s">
        <v>58</v>
      </c>
      <c r="F28" s="5" t="s">
        <v>50</v>
      </c>
      <c r="G28" s="5" t="s">
        <v>21</v>
      </c>
      <c r="H28" s="5" t="s">
        <v>58</v>
      </c>
      <c r="I28" s="5" t="s">
        <v>33</v>
      </c>
      <c r="J28" s="5" t="s">
        <v>25</v>
      </c>
      <c r="K28" s="5" t="s">
        <v>25</v>
      </c>
      <c r="L28" s="5" t="s">
        <v>26</v>
      </c>
      <c r="M28" s="5" t="s">
        <v>33</v>
      </c>
      <c r="N28" s="5" t="s">
        <v>27</v>
      </c>
      <c r="O28" s="5">
        <v>2</v>
      </c>
      <c r="P28" s="5">
        <v>135</v>
      </c>
      <c r="Q28" s="5">
        <v>20</v>
      </c>
      <c r="R28" s="5" t="s">
        <v>28</v>
      </c>
      <c r="S28" s="5" t="s">
        <v>29</v>
      </c>
      <c r="T28" s="5" t="s">
        <v>150</v>
      </c>
      <c r="U28" s="7" t="s">
        <v>110</v>
      </c>
    </row>
    <row r="29" spans="1:21" x14ac:dyDescent="0.25">
      <c r="A29" s="4">
        <v>829763</v>
      </c>
      <c r="B29" s="5" t="s">
        <v>20</v>
      </c>
      <c r="C29" s="6">
        <v>42123</v>
      </c>
      <c r="D29" s="5" t="s">
        <v>350</v>
      </c>
      <c r="E29" s="5" t="s">
        <v>29</v>
      </c>
      <c r="F29" s="5" t="s">
        <v>23</v>
      </c>
      <c r="G29" s="5" t="s">
        <v>21</v>
      </c>
      <c r="H29" s="5" t="s">
        <v>29</v>
      </c>
      <c r="I29" s="5" t="s">
        <v>24</v>
      </c>
      <c r="J29" s="5" t="s">
        <v>37</v>
      </c>
      <c r="K29" s="5" t="s">
        <v>37</v>
      </c>
      <c r="L29" s="5" t="s">
        <v>26</v>
      </c>
      <c r="M29" s="5" t="s">
        <v>29</v>
      </c>
      <c r="N29" s="5" t="s">
        <v>99</v>
      </c>
      <c r="O29" s="5" t="s">
        <v>29</v>
      </c>
      <c r="P29" s="5" t="s">
        <v>29</v>
      </c>
      <c r="Q29" s="5" t="s">
        <v>29</v>
      </c>
      <c r="R29" s="5" t="s">
        <v>28</v>
      </c>
      <c r="S29" s="5" t="s">
        <v>29</v>
      </c>
      <c r="T29" s="5" t="s">
        <v>103</v>
      </c>
      <c r="U29" s="7" t="s">
        <v>151</v>
      </c>
    </row>
    <row r="30" spans="1:21" x14ac:dyDescent="0.25">
      <c r="A30" s="4">
        <v>829723</v>
      </c>
      <c r="B30" s="5" t="s">
        <v>42</v>
      </c>
      <c r="C30" s="6">
        <v>42124</v>
      </c>
      <c r="D30" s="5" t="s">
        <v>350</v>
      </c>
      <c r="E30" s="5" t="s">
        <v>160</v>
      </c>
      <c r="F30" s="5" t="s">
        <v>43</v>
      </c>
      <c r="G30" s="5" t="s">
        <v>21</v>
      </c>
      <c r="H30" s="5" t="s">
        <v>160</v>
      </c>
      <c r="I30" s="5" t="s">
        <v>25</v>
      </c>
      <c r="J30" s="5" t="s">
        <v>33</v>
      </c>
      <c r="K30" s="5" t="s">
        <v>25</v>
      </c>
      <c r="L30" s="5" t="s">
        <v>26</v>
      </c>
      <c r="M30" s="5" t="s">
        <v>25</v>
      </c>
      <c r="N30" s="5" t="s">
        <v>38</v>
      </c>
      <c r="O30" s="5">
        <v>7</v>
      </c>
      <c r="P30" s="5">
        <v>166</v>
      </c>
      <c r="Q30" s="5">
        <v>20</v>
      </c>
      <c r="R30" s="5" t="s">
        <v>28</v>
      </c>
      <c r="S30" s="5" t="s">
        <v>29</v>
      </c>
      <c r="T30" s="5" t="s">
        <v>105</v>
      </c>
      <c r="U30" s="7" t="s">
        <v>63</v>
      </c>
    </row>
    <row r="31" spans="1:21" x14ac:dyDescent="0.25">
      <c r="A31" s="4">
        <v>829767</v>
      </c>
      <c r="B31" s="5" t="s">
        <v>35</v>
      </c>
      <c r="C31" s="6">
        <v>42125</v>
      </c>
      <c r="D31" s="5" t="s">
        <v>350</v>
      </c>
      <c r="E31" s="5" t="s">
        <v>165</v>
      </c>
      <c r="F31" s="5" t="s">
        <v>36</v>
      </c>
      <c r="G31" s="5" t="s">
        <v>21</v>
      </c>
      <c r="H31" s="5" t="s">
        <v>165</v>
      </c>
      <c r="I31" s="5" t="s">
        <v>229</v>
      </c>
      <c r="J31" s="5" t="s">
        <v>32</v>
      </c>
      <c r="K31" s="5" t="s">
        <v>229</v>
      </c>
      <c r="L31" s="5" t="s">
        <v>26</v>
      </c>
      <c r="M31" s="5" t="s">
        <v>229</v>
      </c>
      <c r="N31" s="5" t="s">
        <v>38</v>
      </c>
      <c r="O31" s="5">
        <v>9</v>
      </c>
      <c r="P31" s="5">
        <v>119</v>
      </c>
      <c r="Q31" s="5">
        <v>20</v>
      </c>
      <c r="R31" s="5" t="s">
        <v>28</v>
      </c>
      <c r="S31" s="5" t="s">
        <v>29</v>
      </c>
      <c r="T31" s="5" t="s">
        <v>139</v>
      </c>
      <c r="U31" s="7" t="s">
        <v>70</v>
      </c>
    </row>
    <row r="32" spans="1:21" x14ac:dyDescent="0.25">
      <c r="A32" s="4">
        <v>829769</v>
      </c>
      <c r="B32" s="5" t="s">
        <v>39</v>
      </c>
      <c r="C32" s="6">
        <v>42125</v>
      </c>
      <c r="D32" s="5" t="s">
        <v>350</v>
      </c>
      <c r="E32" s="5" t="s">
        <v>84</v>
      </c>
      <c r="F32" s="5" t="s">
        <v>40</v>
      </c>
      <c r="G32" s="5" t="s">
        <v>21</v>
      </c>
      <c r="H32" s="5" t="s">
        <v>84</v>
      </c>
      <c r="I32" s="5" t="s">
        <v>41</v>
      </c>
      <c r="J32" s="5" t="s">
        <v>37</v>
      </c>
      <c r="K32" s="5" t="s">
        <v>37</v>
      </c>
      <c r="L32" s="5" t="s">
        <v>26</v>
      </c>
      <c r="M32" s="5" t="s">
        <v>41</v>
      </c>
      <c r="N32" s="5" t="s">
        <v>27</v>
      </c>
      <c r="O32" s="5">
        <v>8</v>
      </c>
      <c r="P32" s="5">
        <v>188</v>
      </c>
      <c r="Q32" s="5">
        <v>20</v>
      </c>
      <c r="R32" s="5" t="s">
        <v>28</v>
      </c>
      <c r="S32" s="5" t="s">
        <v>29</v>
      </c>
      <c r="T32" s="5" t="s">
        <v>67</v>
      </c>
      <c r="U32" s="7" t="s">
        <v>126</v>
      </c>
    </row>
    <row r="33" spans="1:21" x14ac:dyDescent="0.25">
      <c r="A33" s="4">
        <v>829771</v>
      </c>
      <c r="B33" s="5" t="s">
        <v>20</v>
      </c>
      <c r="C33" s="6">
        <v>42126</v>
      </c>
      <c r="D33" s="5" t="s">
        <v>350</v>
      </c>
      <c r="E33" s="5" t="s">
        <v>117</v>
      </c>
      <c r="F33" s="5" t="s">
        <v>23</v>
      </c>
      <c r="G33" s="5" t="s">
        <v>21</v>
      </c>
      <c r="H33" s="5" t="s">
        <v>117</v>
      </c>
      <c r="I33" s="5" t="s">
        <v>24</v>
      </c>
      <c r="J33" s="5" t="s">
        <v>25</v>
      </c>
      <c r="K33" s="5" t="s">
        <v>24</v>
      </c>
      <c r="L33" s="5" t="s">
        <v>26</v>
      </c>
      <c r="M33" s="5" t="s">
        <v>24</v>
      </c>
      <c r="N33" s="5" t="s">
        <v>38</v>
      </c>
      <c r="O33" s="5">
        <v>7</v>
      </c>
      <c r="P33" s="5">
        <v>112</v>
      </c>
      <c r="Q33" s="5">
        <v>10</v>
      </c>
      <c r="R33" s="5" t="s">
        <v>28</v>
      </c>
      <c r="S33" s="5" t="s">
        <v>29</v>
      </c>
      <c r="T33" s="5" t="s">
        <v>103</v>
      </c>
      <c r="U33" s="7" t="s">
        <v>151</v>
      </c>
    </row>
    <row r="34" spans="1:21" x14ac:dyDescent="0.25">
      <c r="A34" s="4">
        <v>829773</v>
      </c>
      <c r="B34" s="5" t="s">
        <v>47</v>
      </c>
      <c r="C34" s="6">
        <v>42126</v>
      </c>
      <c r="D34" s="5" t="s">
        <v>350</v>
      </c>
      <c r="E34" s="5" t="s">
        <v>82</v>
      </c>
      <c r="F34" s="5" t="s">
        <v>48</v>
      </c>
      <c r="G34" s="5" t="s">
        <v>21</v>
      </c>
      <c r="H34" s="5" t="s">
        <v>82</v>
      </c>
      <c r="I34" s="5" t="s">
        <v>121</v>
      </c>
      <c r="J34" s="5" t="s">
        <v>33</v>
      </c>
      <c r="K34" s="5" t="s">
        <v>33</v>
      </c>
      <c r="L34" s="5" t="s">
        <v>26</v>
      </c>
      <c r="M34" s="5" t="s">
        <v>121</v>
      </c>
      <c r="N34" s="5" t="s">
        <v>27</v>
      </c>
      <c r="O34" s="5">
        <v>22</v>
      </c>
      <c r="P34" s="5">
        <v>193</v>
      </c>
      <c r="Q34" s="5">
        <v>20</v>
      </c>
      <c r="R34" s="5" t="s">
        <v>28</v>
      </c>
      <c r="S34" s="5" t="s">
        <v>29</v>
      </c>
      <c r="T34" s="5" t="s">
        <v>105</v>
      </c>
      <c r="U34" s="7" t="s">
        <v>158</v>
      </c>
    </row>
    <row r="35" spans="1:21" x14ac:dyDescent="0.25">
      <c r="A35" s="4">
        <v>829775</v>
      </c>
      <c r="B35" s="5" t="s">
        <v>30</v>
      </c>
      <c r="C35" s="6">
        <v>42127</v>
      </c>
      <c r="D35" s="5" t="s">
        <v>350</v>
      </c>
      <c r="E35" s="5" t="s">
        <v>153</v>
      </c>
      <c r="F35" s="5" t="s">
        <v>31</v>
      </c>
      <c r="G35" s="5" t="s">
        <v>21</v>
      </c>
      <c r="H35" s="5" t="s">
        <v>153</v>
      </c>
      <c r="I35" s="5" t="s">
        <v>32</v>
      </c>
      <c r="J35" s="5" t="s">
        <v>41</v>
      </c>
      <c r="K35" s="5" t="s">
        <v>41</v>
      </c>
      <c r="L35" s="5" t="s">
        <v>34</v>
      </c>
      <c r="M35" s="5" t="s">
        <v>41</v>
      </c>
      <c r="N35" s="5" t="s">
        <v>27</v>
      </c>
      <c r="O35" s="5">
        <v>23</v>
      </c>
      <c r="P35" s="5">
        <v>173</v>
      </c>
      <c r="Q35" s="5">
        <v>20</v>
      </c>
      <c r="R35" s="5" t="s">
        <v>28</v>
      </c>
      <c r="S35" s="5" t="s">
        <v>29</v>
      </c>
      <c r="T35" s="5" t="s">
        <v>139</v>
      </c>
      <c r="U35" s="7" t="s">
        <v>110</v>
      </c>
    </row>
    <row r="36" spans="1:21" x14ac:dyDescent="0.25">
      <c r="A36" s="4">
        <v>829777</v>
      </c>
      <c r="B36" s="5" t="s">
        <v>39</v>
      </c>
      <c r="C36" s="6">
        <v>42127</v>
      </c>
      <c r="D36" s="5" t="s">
        <v>350</v>
      </c>
      <c r="E36" s="5" t="s">
        <v>106</v>
      </c>
      <c r="F36" s="5" t="s">
        <v>76</v>
      </c>
      <c r="G36" s="5" t="s">
        <v>21</v>
      </c>
      <c r="H36" s="5" t="s">
        <v>106</v>
      </c>
      <c r="I36" s="5" t="s">
        <v>37</v>
      </c>
      <c r="J36" s="5" t="s">
        <v>229</v>
      </c>
      <c r="K36" s="5" t="s">
        <v>229</v>
      </c>
      <c r="L36" s="5" t="s">
        <v>26</v>
      </c>
      <c r="M36" s="5" t="s">
        <v>37</v>
      </c>
      <c r="N36" s="5" t="s">
        <v>27</v>
      </c>
      <c r="O36" s="5">
        <v>14</v>
      </c>
      <c r="P36" s="5">
        <v>190</v>
      </c>
      <c r="Q36" s="5">
        <v>20</v>
      </c>
      <c r="R36" s="5" t="s">
        <v>28</v>
      </c>
      <c r="S36" s="5" t="s">
        <v>29</v>
      </c>
      <c r="T36" s="5" t="s">
        <v>67</v>
      </c>
      <c r="U36" s="7" t="s">
        <v>155</v>
      </c>
    </row>
    <row r="37" spans="1:21" x14ac:dyDescent="0.25">
      <c r="A37" s="4">
        <v>829779</v>
      </c>
      <c r="B37" s="5" t="s">
        <v>49</v>
      </c>
      <c r="C37" s="6">
        <v>42128</v>
      </c>
      <c r="D37" s="5" t="s">
        <v>350</v>
      </c>
      <c r="E37" s="5" t="s">
        <v>60</v>
      </c>
      <c r="F37" s="5" t="s">
        <v>50</v>
      </c>
      <c r="G37" s="5" t="s">
        <v>21</v>
      </c>
      <c r="H37" s="5" t="s">
        <v>60</v>
      </c>
      <c r="I37" s="5" t="s">
        <v>33</v>
      </c>
      <c r="J37" s="5" t="s">
        <v>24</v>
      </c>
      <c r="K37" s="5" t="s">
        <v>33</v>
      </c>
      <c r="L37" s="5" t="s">
        <v>34</v>
      </c>
      <c r="M37" s="5" t="s">
        <v>33</v>
      </c>
      <c r="N37" s="5" t="s">
        <v>27</v>
      </c>
      <c r="O37" s="5">
        <v>24</v>
      </c>
      <c r="P37" s="5">
        <v>149</v>
      </c>
      <c r="Q37" s="5">
        <v>20</v>
      </c>
      <c r="R37" s="5" t="s">
        <v>28</v>
      </c>
      <c r="S37" s="5" t="s">
        <v>29</v>
      </c>
      <c r="T37" s="5" t="s">
        <v>118</v>
      </c>
      <c r="U37" s="7" t="s">
        <v>124</v>
      </c>
    </row>
    <row r="38" spans="1:21" x14ac:dyDescent="0.25">
      <c r="A38" s="4">
        <v>829781</v>
      </c>
      <c r="B38" s="5" t="s">
        <v>42</v>
      </c>
      <c r="C38" s="6">
        <v>42128</v>
      </c>
      <c r="D38" s="5" t="s">
        <v>350</v>
      </c>
      <c r="E38" s="5" t="s">
        <v>120</v>
      </c>
      <c r="F38" s="5" t="s">
        <v>43</v>
      </c>
      <c r="G38" s="5" t="s">
        <v>21</v>
      </c>
      <c r="H38" s="5" t="s">
        <v>120</v>
      </c>
      <c r="I38" s="5" t="s">
        <v>25</v>
      </c>
      <c r="J38" s="5" t="s">
        <v>121</v>
      </c>
      <c r="K38" s="5" t="s">
        <v>121</v>
      </c>
      <c r="L38" s="5" t="s">
        <v>26</v>
      </c>
      <c r="M38" s="5" t="s">
        <v>25</v>
      </c>
      <c r="N38" s="5" t="s">
        <v>27</v>
      </c>
      <c r="O38" s="5">
        <v>35</v>
      </c>
      <c r="P38" s="5">
        <v>168</v>
      </c>
      <c r="Q38" s="5">
        <v>20</v>
      </c>
      <c r="R38" s="5" t="s">
        <v>28</v>
      </c>
      <c r="S38" s="5" t="s">
        <v>29</v>
      </c>
      <c r="T38" s="5" t="s">
        <v>105</v>
      </c>
      <c r="U38" s="7" t="s">
        <v>63</v>
      </c>
    </row>
    <row r="39" spans="1:21" x14ac:dyDescent="0.25">
      <c r="A39" s="4">
        <v>829783</v>
      </c>
      <c r="B39" s="5" t="s">
        <v>39</v>
      </c>
      <c r="C39" s="6">
        <v>42129</v>
      </c>
      <c r="D39" s="5" t="s">
        <v>350</v>
      </c>
      <c r="E39" s="5" t="s">
        <v>74</v>
      </c>
      <c r="F39" s="5" t="s">
        <v>40</v>
      </c>
      <c r="G39" s="5" t="s">
        <v>21</v>
      </c>
      <c r="H39" s="5" t="s">
        <v>74</v>
      </c>
      <c r="I39" s="5" t="s">
        <v>41</v>
      </c>
      <c r="J39" s="5" t="s">
        <v>229</v>
      </c>
      <c r="K39" s="5" t="s">
        <v>229</v>
      </c>
      <c r="L39" s="5" t="s">
        <v>34</v>
      </c>
      <c r="M39" s="5" t="s">
        <v>41</v>
      </c>
      <c r="N39" s="5" t="s">
        <v>38</v>
      </c>
      <c r="O39" s="5">
        <v>5</v>
      </c>
      <c r="P39" s="5">
        <v>153</v>
      </c>
      <c r="Q39" s="5">
        <v>20</v>
      </c>
      <c r="R39" s="5" t="s">
        <v>28</v>
      </c>
      <c r="S39" s="5" t="s">
        <v>29</v>
      </c>
      <c r="T39" s="5" t="s">
        <v>67</v>
      </c>
      <c r="U39" s="7" t="s">
        <v>155</v>
      </c>
    </row>
    <row r="40" spans="1:21" x14ac:dyDescent="0.25">
      <c r="A40" s="4">
        <v>829785</v>
      </c>
      <c r="B40" s="5" t="s">
        <v>20</v>
      </c>
      <c r="C40" s="6">
        <v>42130</v>
      </c>
      <c r="D40" s="5" t="s">
        <v>350</v>
      </c>
      <c r="E40" s="5" t="s">
        <v>62</v>
      </c>
      <c r="F40" s="5" t="s">
        <v>23</v>
      </c>
      <c r="G40" s="5" t="s">
        <v>21</v>
      </c>
      <c r="H40" s="5" t="s">
        <v>62</v>
      </c>
      <c r="I40" s="5" t="s">
        <v>24</v>
      </c>
      <c r="J40" s="5" t="s">
        <v>32</v>
      </c>
      <c r="K40" s="5" t="s">
        <v>32</v>
      </c>
      <c r="L40" s="5" t="s">
        <v>26</v>
      </c>
      <c r="M40" s="5" t="s">
        <v>24</v>
      </c>
      <c r="N40" s="5" t="s">
        <v>27</v>
      </c>
      <c r="O40" s="5">
        <v>138</v>
      </c>
      <c r="P40" s="5">
        <v>227</v>
      </c>
      <c r="Q40" s="5">
        <v>20</v>
      </c>
      <c r="R40" s="5" t="s">
        <v>28</v>
      </c>
      <c r="S40" s="5" t="s">
        <v>29</v>
      </c>
      <c r="T40" s="5" t="s">
        <v>139</v>
      </c>
      <c r="U40" s="7" t="s">
        <v>110</v>
      </c>
    </row>
    <row r="41" spans="1:21" x14ac:dyDescent="0.25">
      <c r="A41" s="4">
        <v>829761</v>
      </c>
      <c r="B41" s="5" t="s">
        <v>42</v>
      </c>
      <c r="C41" s="6">
        <v>42131</v>
      </c>
      <c r="D41" s="5" t="s">
        <v>350</v>
      </c>
      <c r="E41" s="5" t="s">
        <v>85</v>
      </c>
      <c r="F41" s="5" t="s">
        <v>43</v>
      </c>
      <c r="G41" s="5" t="s">
        <v>21</v>
      </c>
      <c r="H41" s="5" t="s">
        <v>85</v>
      </c>
      <c r="I41" s="5" t="s">
        <v>25</v>
      </c>
      <c r="J41" s="5" t="s">
        <v>229</v>
      </c>
      <c r="K41" s="5" t="s">
        <v>25</v>
      </c>
      <c r="L41" s="5" t="s">
        <v>34</v>
      </c>
      <c r="M41" s="5" t="s">
        <v>25</v>
      </c>
      <c r="N41" s="5" t="s">
        <v>27</v>
      </c>
      <c r="O41" s="5">
        <v>13</v>
      </c>
      <c r="P41" s="5">
        <v>172</v>
      </c>
      <c r="Q41" s="5">
        <v>20</v>
      </c>
      <c r="R41" s="5" t="s">
        <v>28</v>
      </c>
      <c r="S41" s="5" t="s">
        <v>29</v>
      </c>
      <c r="T41" s="5" t="s">
        <v>105</v>
      </c>
      <c r="U41" s="7" t="s">
        <v>63</v>
      </c>
    </row>
    <row r="42" spans="1:21" x14ac:dyDescent="0.25">
      <c r="A42" s="4">
        <v>829787</v>
      </c>
      <c r="B42" s="5" t="s">
        <v>39</v>
      </c>
      <c r="C42" s="6">
        <v>42131</v>
      </c>
      <c r="D42" s="5" t="s">
        <v>350</v>
      </c>
      <c r="E42" s="5" t="s">
        <v>166</v>
      </c>
      <c r="F42" s="5" t="s">
        <v>76</v>
      </c>
      <c r="G42" s="5" t="s">
        <v>21</v>
      </c>
      <c r="H42" s="5" t="s">
        <v>166</v>
      </c>
      <c r="I42" s="5" t="s">
        <v>37</v>
      </c>
      <c r="J42" s="5" t="s">
        <v>121</v>
      </c>
      <c r="K42" s="5" t="s">
        <v>37</v>
      </c>
      <c r="L42" s="5" t="s">
        <v>26</v>
      </c>
      <c r="M42" s="5" t="s">
        <v>121</v>
      </c>
      <c r="N42" s="5" t="s">
        <v>27</v>
      </c>
      <c r="O42" s="5">
        <v>7</v>
      </c>
      <c r="P42" s="5">
        <v>202</v>
      </c>
      <c r="Q42" s="5">
        <v>20</v>
      </c>
      <c r="R42" s="5" t="s">
        <v>28</v>
      </c>
      <c r="S42" s="5" t="s">
        <v>29</v>
      </c>
      <c r="T42" s="5" t="s">
        <v>103</v>
      </c>
      <c r="U42" s="7" t="s">
        <v>118</v>
      </c>
    </row>
    <row r="43" spans="1:21" x14ac:dyDescent="0.25">
      <c r="A43" s="4">
        <v>829789</v>
      </c>
      <c r="B43" s="5" t="s">
        <v>49</v>
      </c>
      <c r="C43" s="6">
        <v>42132</v>
      </c>
      <c r="D43" s="5" t="s">
        <v>350</v>
      </c>
      <c r="E43" s="5" t="s">
        <v>167</v>
      </c>
      <c r="F43" s="5" t="s">
        <v>50</v>
      </c>
      <c r="G43" s="5" t="s">
        <v>21</v>
      </c>
      <c r="H43" s="5" t="s">
        <v>167</v>
      </c>
      <c r="I43" s="5" t="s">
        <v>33</v>
      </c>
      <c r="J43" s="5" t="s">
        <v>41</v>
      </c>
      <c r="K43" s="5" t="s">
        <v>33</v>
      </c>
      <c r="L43" s="5" t="s">
        <v>34</v>
      </c>
      <c r="M43" s="5" t="s">
        <v>41</v>
      </c>
      <c r="N43" s="5" t="s">
        <v>38</v>
      </c>
      <c r="O43" s="5">
        <v>6</v>
      </c>
      <c r="P43" s="5">
        <v>159</v>
      </c>
      <c r="Q43" s="5">
        <v>20</v>
      </c>
      <c r="R43" s="5" t="s">
        <v>28</v>
      </c>
      <c r="S43" s="5" t="s">
        <v>29</v>
      </c>
      <c r="T43" s="5" t="s">
        <v>155</v>
      </c>
      <c r="U43" s="7" t="s">
        <v>126</v>
      </c>
    </row>
    <row r="44" spans="1:21" x14ac:dyDescent="0.25">
      <c r="A44" s="4">
        <v>829791</v>
      </c>
      <c r="B44" s="5" t="s">
        <v>42</v>
      </c>
      <c r="C44" s="6">
        <v>42133</v>
      </c>
      <c r="D44" s="5" t="s">
        <v>350</v>
      </c>
      <c r="E44" s="5" t="s">
        <v>160</v>
      </c>
      <c r="F44" s="5" t="s">
        <v>43</v>
      </c>
      <c r="G44" s="5" t="s">
        <v>21</v>
      </c>
      <c r="H44" s="5" t="s">
        <v>160</v>
      </c>
      <c r="I44" s="5" t="s">
        <v>25</v>
      </c>
      <c r="J44" s="5" t="s">
        <v>32</v>
      </c>
      <c r="K44" s="5" t="s">
        <v>32</v>
      </c>
      <c r="L44" s="5" t="s">
        <v>34</v>
      </c>
      <c r="M44" s="5" t="s">
        <v>25</v>
      </c>
      <c r="N44" s="5" t="s">
        <v>38</v>
      </c>
      <c r="O44" s="5">
        <v>1</v>
      </c>
      <c r="P44" s="5">
        <v>184</v>
      </c>
      <c r="Q44" s="5">
        <v>20</v>
      </c>
      <c r="R44" s="5" t="s">
        <v>28</v>
      </c>
      <c r="S44" s="5" t="s">
        <v>29</v>
      </c>
      <c r="T44" s="5" t="s">
        <v>105</v>
      </c>
      <c r="U44" s="7" t="s">
        <v>67</v>
      </c>
    </row>
    <row r="45" spans="1:21" x14ac:dyDescent="0.25">
      <c r="A45" s="4">
        <v>829793</v>
      </c>
      <c r="B45" s="5" t="s">
        <v>129</v>
      </c>
      <c r="C45" s="6">
        <v>42133</v>
      </c>
      <c r="D45" s="5" t="s">
        <v>350</v>
      </c>
      <c r="E45" s="5" t="s">
        <v>168</v>
      </c>
      <c r="F45" s="5" t="s">
        <v>130</v>
      </c>
      <c r="G45" s="5" t="s">
        <v>21</v>
      </c>
      <c r="H45" s="5" t="s">
        <v>168</v>
      </c>
      <c r="I45" s="5" t="s">
        <v>229</v>
      </c>
      <c r="J45" s="5" t="s">
        <v>121</v>
      </c>
      <c r="K45" s="5" t="s">
        <v>121</v>
      </c>
      <c r="L45" s="5" t="s">
        <v>34</v>
      </c>
      <c r="M45" s="5" t="s">
        <v>121</v>
      </c>
      <c r="N45" s="5" t="s">
        <v>27</v>
      </c>
      <c r="O45" s="5">
        <v>6</v>
      </c>
      <c r="P45" s="5">
        <v>164</v>
      </c>
      <c r="Q45" s="5">
        <v>20</v>
      </c>
      <c r="R45" s="5" t="s">
        <v>28</v>
      </c>
      <c r="S45" s="5" t="s">
        <v>29</v>
      </c>
      <c r="T45" s="5" t="s">
        <v>110</v>
      </c>
      <c r="U45" s="7" t="s">
        <v>70</v>
      </c>
    </row>
    <row r="46" spans="1:21" x14ac:dyDescent="0.25">
      <c r="A46" s="4">
        <v>829795</v>
      </c>
      <c r="B46" s="5" t="s">
        <v>39</v>
      </c>
      <c r="C46" s="6">
        <v>42134</v>
      </c>
      <c r="D46" s="5" t="s">
        <v>350</v>
      </c>
      <c r="E46" s="5" t="s">
        <v>64</v>
      </c>
      <c r="F46" s="5" t="s">
        <v>40</v>
      </c>
      <c r="G46" s="5" t="s">
        <v>21</v>
      </c>
      <c r="H46" s="5" t="s">
        <v>64</v>
      </c>
      <c r="I46" s="5" t="s">
        <v>41</v>
      </c>
      <c r="J46" s="5" t="s">
        <v>24</v>
      </c>
      <c r="K46" s="5" t="s">
        <v>24</v>
      </c>
      <c r="L46" s="5" t="s">
        <v>34</v>
      </c>
      <c r="M46" s="5" t="s">
        <v>24</v>
      </c>
      <c r="N46" s="5" t="s">
        <v>27</v>
      </c>
      <c r="O46" s="5">
        <v>39</v>
      </c>
      <c r="P46" s="5">
        <v>236</v>
      </c>
      <c r="Q46" s="5">
        <v>20</v>
      </c>
      <c r="R46" s="5" t="s">
        <v>28</v>
      </c>
      <c r="S46" s="5" t="s">
        <v>29</v>
      </c>
      <c r="T46" s="5" t="s">
        <v>103</v>
      </c>
      <c r="U46" s="7" t="s">
        <v>118</v>
      </c>
    </row>
    <row r="47" spans="1:21" x14ac:dyDescent="0.25">
      <c r="A47" s="4">
        <v>829797</v>
      </c>
      <c r="B47" s="5" t="s">
        <v>49</v>
      </c>
      <c r="C47" s="6">
        <v>42134</v>
      </c>
      <c r="D47" s="5" t="s">
        <v>350</v>
      </c>
      <c r="E47" s="5" t="s">
        <v>108</v>
      </c>
      <c r="F47" s="5" t="s">
        <v>50</v>
      </c>
      <c r="G47" s="5" t="s">
        <v>21</v>
      </c>
      <c r="H47" s="5" t="s">
        <v>108</v>
      </c>
      <c r="I47" s="5" t="s">
        <v>33</v>
      </c>
      <c r="J47" s="5" t="s">
        <v>37</v>
      </c>
      <c r="K47" s="5" t="s">
        <v>33</v>
      </c>
      <c r="L47" s="5" t="s">
        <v>34</v>
      </c>
      <c r="M47" s="5" t="s">
        <v>33</v>
      </c>
      <c r="N47" s="5" t="s">
        <v>27</v>
      </c>
      <c r="O47" s="5">
        <v>12</v>
      </c>
      <c r="P47" s="5">
        <v>158</v>
      </c>
      <c r="Q47" s="5">
        <v>20</v>
      </c>
      <c r="R47" s="5" t="s">
        <v>28</v>
      </c>
      <c r="S47" s="5" t="s">
        <v>29</v>
      </c>
      <c r="T47" s="5" t="s">
        <v>63</v>
      </c>
      <c r="U47" s="7" t="s">
        <v>126</v>
      </c>
    </row>
    <row r="48" spans="1:21" x14ac:dyDescent="0.25">
      <c r="A48" s="4">
        <v>829799</v>
      </c>
      <c r="B48" s="5" t="s">
        <v>47</v>
      </c>
      <c r="C48" s="6">
        <v>42135</v>
      </c>
      <c r="D48" s="5" t="s">
        <v>350</v>
      </c>
      <c r="E48" s="5" t="s">
        <v>82</v>
      </c>
      <c r="F48" s="5" t="s">
        <v>48</v>
      </c>
      <c r="G48" s="5" t="s">
        <v>21</v>
      </c>
      <c r="H48" s="5" t="s">
        <v>82</v>
      </c>
      <c r="I48" s="5" t="s">
        <v>121</v>
      </c>
      <c r="J48" s="5" t="s">
        <v>32</v>
      </c>
      <c r="K48" s="5" t="s">
        <v>121</v>
      </c>
      <c r="L48" s="5" t="s">
        <v>34</v>
      </c>
      <c r="M48" s="5" t="s">
        <v>121</v>
      </c>
      <c r="N48" s="5" t="s">
        <v>27</v>
      </c>
      <c r="O48" s="5">
        <v>5</v>
      </c>
      <c r="P48" s="5">
        <v>186</v>
      </c>
      <c r="Q48" s="5">
        <v>20</v>
      </c>
      <c r="R48" s="5" t="s">
        <v>28</v>
      </c>
      <c r="S48" s="5" t="s">
        <v>29</v>
      </c>
      <c r="T48" s="5" t="s">
        <v>105</v>
      </c>
      <c r="U48" s="7" t="s">
        <v>67</v>
      </c>
    </row>
    <row r="49" spans="1:21" x14ac:dyDescent="0.25">
      <c r="A49" s="4">
        <v>829801</v>
      </c>
      <c r="B49" s="5" t="s">
        <v>129</v>
      </c>
      <c r="C49" s="6">
        <v>42136</v>
      </c>
      <c r="D49" s="5" t="s">
        <v>350</v>
      </c>
      <c r="E49" s="5" t="s">
        <v>169</v>
      </c>
      <c r="F49" s="5" t="s">
        <v>130</v>
      </c>
      <c r="G49" s="5" t="s">
        <v>21</v>
      </c>
      <c r="H49" s="5" t="s">
        <v>169</v>
      </c>
      <c r="I49" s="5" t="s">
        <v>229</v>
      </c>
      <c r="J49" s="5" t="s">
        <v>33</v>
      </c>
      <c r="K49" s="5" t="s">
        <v>33</v>
      </c>
      <c r="L49" s="5" t="s">
        <v>34</v>
      </c>
      <c r="M49" s="5" t="s">
        <v>229</v>
      </c>
      <c r="N49" s="5" t="s">
        <v>38</v>
      </c>
      <c r="O49" s="5">
        <v>6</v>
      </c>
      <c r="P49" s="5">
        <v>120</v>
      </c>
      <c r="Q49" s="5">
        <v>20</v>
      </c>
      <c r="R49" s="5" t="s">
        <v>28</v>
      </c>
      <c r="S49" s="5" t="s">
        <v>29</v>
      </c>
      <c r="T49" s="5" t="s">
        <v>139</v>
      </c>
      <c r="U49" s="7" t="s">
        <v>110</v>
      </c>
    </row>
    <row r="50" spans="1:21" x14ac:dyDescent="0.25">
      <c r="A50" s="4">
        <v>829803</v>
      </c>
      <c r="B50" s="5" t="s">
        <v>30</v>
      </c>
      <c r="C50" s="6">
        <v>42137</v>
      </c>
      <c r="D50" s="5" t="s">
        <v>350</v>
      </c>
      <c r="E50" s="5" t="s">
        <v>152</v>
      </c>
      <c r="F50" s="5" t="s">
        <v>31</v>
      </c>
      <c r="G50" s="5" t="s">
        <v>21</v>
      </c>
      <c r="H50" s="5" t="s">
        <v>152</v>
      </c>
      <c r="I50" s="5" t="s">
        <v>32</v>
      </c>
      <c r="J50" s="5" t="s">
        <v>24</v>
      </c>
      <c r="K50" s="5" t="s">
        <v>24</v>
      </c>
      <c r="L50" s="5" t="s">
        <v>26</v>
      </c>
      <c r="M50" s="5" t="s">
        <v>32</v>
      </c>
      <c r="N50" s="5" t="s">
        <v>27</v>
      </c>
      <c r="O50" s="5">
        <v>22</v>
      </c>
      <c r="P50" s="5">
        <v>107</v>
      </c>
      <c r="Q50" s="5">
        <v>10</v>
      </c>
      <c r="R50" s="5" t="s">
        <v>28</v>
      </c>
      <c r="S50" s="5" t="s">
        <v>29</v>
      </c>
      <c r="T50" s="5" t="s">
        <v>103</v>
      </c>
      <c r="U50" s="7" t="s">
        <v>118</v>
      </c>
    </row>
    <row r="51" spans="1:21" x14ac:dyDescent="0.25">
      <c r="A51" s="4">
        <v>829805</v>
      </c>
      <c r="B51" s="5" t="s">
        <v>39</v>
      </c>
      <c r="C51" s="6">
        <v>42138</v>
      </c>
      <c r="D51" s="5" t="s">
        <v>350</v>
      </c>
      <c r="E51" s="5" t="s">
        <v>167</v>
      </c>
      <c r="F51" s="5" t="s">
        <v>40</v>
      </c>
      <c r="G51" s="5" t="s">
        <v>21</v>
      </c>
      <c r="H51" s="5" t="s">
        <v>167</v>
      </c>
      <c r="I51" s="5" t="s">
        <v>41</v>
      </c>
      <c r="J51" s="5" t="s">
        <v>25</v>
      </c>
      <c r="K51" s="5" t="s">
        <v>25</v>
      </c>
      <c r="L51" s="5" t="s">
        <v>26</v>
      </c>
      <c r="M51" s="5" t="s">
        <v>41</v>
      </c>
      <c r="N51" s="5" t="s">
        <v>27</v>
      </c>
      <c r="O51" s="5">
        <v>5</v>
      </c>
      <c r="P51" s="5">
        <v>172</v>
      </c>
      <c r="Q51" s="5">
        <v>20</v>
      </c>
      <c r="R51" s="5" t="s">
        <v>28</v>
      </c>
      <c r="S51" s="5" t="s">
        <v>29</v>
      </c>
      <c r="T51" s="5" t="s">
        <v>139</v>
      </c>
      <c r="U51" s="7" t="s">
        <v>110</v>
      </c>
    </row>
    <row r="52" spans="1:21" x14ac:dyDescent="0.25">
      <c r="A52" s="4">
        <v>829807</v>
      </c>
      <c r="B52" s="5" t="s">
        <v>47</v>
      </c>
      <c r="C52" s="6">
        <v>42139</v>
      </c>
      <c r="D52" s="5" t="s">
        <v>350</v>
      </c>
      <c r="E52" s="5" t="s">
        <v>92</v>
      </c>
      <c r="F52" s="5" t="s">
        <v>48</v>
      </c>
      <c r="G52" s="5" t="s">
        <v>21</v>
      </c>
      <c r="H52" s="5" t="s">
        <v>92</v>
      </c>
      <c r="I52" s="5" t="s">
        <v>121</v>
      </c>
      <c r="J52" s="5" t="s">
        <v>24</v>
      </c>
      <c r="K52" s="5" t="s">
        <v>121</v>
      </c>
      <c r="L52" s="5" t="s">
        <v>34</v>
      </c>
      <c r="M52" s="5" t="s">
        <v>24</v>
      </c>
      <c r="N52" s="5" t="s">
        <v>38</v>
      </c>
      <c r="O52" s="5">
        <v>6</v>
      </c>
      <c r="P52" s="5">
        <v>81</v>
      </c>
      <c r="Q52" s="5">
        <v>6</v>
      </c>
      <c r="R52" s="5" t="s">
        <v>28</v>
      </c>
      <c r="S52" s="5" t="s">
        <v>57</v>
      </c>
      <c r="T52" s="5" t="s">
        <v>105</v>
      </c>
      <c r="U52" s="7" t="s">
        <v>67</v>
      </c>
    </row>
    <row r="53" spans="1:21" x14ac:dyDescent="0.25">
      <c r="A53" s="4">
        <v>829809</v>
      </c>
      <c r="B53" s="5" t="s">
        <v>30</v>
      </c>
      <c r="C53" s="6">
        <v>42140</v>
      </c>
      <c r="D53" s="5" t="s">
        <v>350</v>
      </c>
      <c r="E53" s="5" t="s">
        <v>119</v>
      </c>
      <c r="F53" s="5" t="s">
        <v>31</v>
      </c>
      <c r="G53" s="5" t="s">
        <v>21</v>
      </c>
      <c r="H53" s="5" t="s">
        <v>119</v>
      </c>
      <c r="I53" s="5" t="s">
        <v>32</v>
      </c>
      <c r="J53" s="5" t="s">
        <v>33</v>
      </c>
      <c r="K53" s="5" t="s">
        <v>32</v>
      </c>
      <c r="L53" s="5" t="s">
        <v>34</v>
      </c>
      <c r="M53" s="5" t="s">
        <v>33</v>
      </c>
      <c r="N53" s="5" t="s">
        <v>38</v>
      </c>
      <c r="O53" s="5">
        <v>7</v>
      </c>
      <c r="P53" s="5">
        <v>131</v>
      </c>
      <c r="Q53" s="5">
        <v>20</v>
      </c>
      <c r="R53" s="5" t="s">
        <v>28</v>
      </c>
      <c r="S53" s="5" t="s">
        <v>29</v>
      </c>
      <c r="T53" s="5" t="s">
        <v>126</v>
      </c>
      <c r="U53" s="7" t="s">
        <v>118</v>
      </c>
    </row>
    <row r="54" spans="1:21" x14ac:dyDescent="0.25">
      <c r="A54" s="4">
        <v>829811</v>
      </c>
      <c r="B54" s="5" t="s">
        <v>39</v>
      </c>
      <c r="C54" s="6">
        <v>42140</v>
      </c>
      <c r="D54" s="5" t="s">
        <v>350</v>
      </c>
      <c r="E54" s="5" t="s">
        <v>45</v>
      </c>
      <c r="F54" s="5" t="s">
        <v>76</v>
      </c>
      <c r="G54" s="5" t="s">
        <v>21</v>
      </c>
      <c r="H54" s="5" t="s">
        <v>45</v>
      </c>
      <c r="I54" s="5" t="s">
        <v>37</v>
      </c>
      <c r="J54" s="5" t="s">
        <v>25</v>
      </c>
      <c r="K54" s="5" t="s">
        <v>37</v>
      </c>
      <c r="L54" s="5" t="s">
        <v>34</v>
      </c>
      <c r="M54" s="5" t="s">
        <v>37</v>
      </c>
      <c r="N54" s="5" t="s">
        <v>27</v>
      </c>
      <c r="O54" s="5">
        <v>9</v>
      </c>
      <c r="P54" s="5">
        <v>200</v>
      </c>
      <c r="Q54" s="5">
        <v>20</v>
      </c>
      <c r="R54" s="5" t="s">
        <v>28</v>
      </c>
      <c r="S54" s="5" t="s">
        <v>29</v>
      </c>
      <c r="T54" s="5" t="s">
        <v>150</v>
      </c>
      <c r="U54" s="7" t="s">
        <v>139</v>
      </c>
    </row>
    <row r="55" spans="1:21" x14ac:dyDescent="0.25">
      <c r="A55" s="4">
        <v>829813</v>
      </c>
      <c r="B55" s="5" t="s">
        <v>20</v>
      </c>
      <c r="C55" s="6">
        <v>42141</v>
      </c>
      <c r="D55" s="5" t="s">
        <v>350</v>
      </c>
      <c r="E55" s="5" t="s">
        <v>29</v>
      </c>
      <c r="F55" s="5" t="s">
        <v>23</v>
      </c>
      <c r="G55" s="5" t="s">
        <v>21</v>
      </c>
      <c r="H55" s="5" t="s">
        <v>29</v>
      </c>
      <c r="I55" s="5" t="s">
        <v>24</v>
      </c>
      <c r="J55" s="5" t="s">
        <v>229</v>
      </c>
      <c r="K55" s="5" t="s">
        <v>24</v>
      </c>
      <c r="L55" s="5" t="s">
        <v>26</v>
      </c>
      <c r="M55" s="5" t="s">
        <v>29</v>
      </c>
      <c r="N55" s="5" t="s">
        <v>99</v>
      </c>
      <c r="O55" s="5" t="s">
        <v>29</v>
      </c>
      <c r="P55" s="5">
        <v>188</v>
      </c>
      <c r="Q55" s="5">
        <v>20</v>
      </c>
      <c r="R55" s="5" t="s">
        <v>28</v>
      </c>
      <c r="S55" s="5" t="s">
        <v>29</v>
      </c>
      <c r="T55" s="5" t="s">
        <v>67</v>
      </c>
      <c r="U55" s="7" t="s">
        <v>158</v>
      </c>
    </row>
    <row r="56" spans="1:21" x14ac:dyDescent="0.25">
      <c r="A56" s="4">
        <v>829815</v>
      </c>
      <c r="B56" s="5" t="s">
        <v>47</v>
      </c>
      <c r="C56" s="6">
        <v>42141</v>
      </c>
      <c r="D56" s="5" t="s">
        <v>350</v>
      </c>
      <c r="E56" s="5" t="s">
        <v>170</v>
      </c>
      <c r="F56" s="5" t="s">
        <v>48</v>
      </c>
      <c r="G56" s="5" t="s">
        <v>21</v>
      </c>
      <c r="H56" s="5" t="s">
        <v>170</v>
      </c>
      <c r="I56" s="5" t="s">
        <v>121</v>
      </c>
      <c r="J56" s="5" t="s">
        <v>41</v>
      </c>
      <c r="K56" s="5" t="s">
        <v>121</v>
      </c>
      <c r="L56" s="5" t="s">
        <v>34</v>
      </c>
      <c r="M56" s="5" t="s">
        <v>41</v>
      </c>
      <c r="N56" s="5" t="s">
        <v>38</v>
      </c>
      <c r="O56" s="5">
        <v>9</v>
      </c>
      <c r="P56" s="5">
        <v>114</v>
      </c>
      <c r="Q56" s="5">
        <v>20</v>
      </c>
      <c r="R56" s="5" t="s">
        <v>28</v>
      </c>
      <c r="S56" s="5" t="s">
        <v>29</v>
      </c>
      <c r="T56" s="5" t="s">
        <v>155</v>
      </c>
      <c r="U56" s="7" t="s">
        <v>124</v>
      </c>
    </row>
    <row r="57" spans="1:21" x14ac:dyDescent="0.25">
      <c r="A57" s="4">
        <v>829817</v>
      </c>
      <c r="B57" s="5" t="s">
        <v>39</v>
      </c>
      <c r="C57" s="6">
        <v>42143</v>
      </c>
      <c r="D57" s="5" t="s">
        <v>350</v>
      </c>
      <c r="E57" s="5" t="s">
        <v>86</v>
      </c>
      <c r="F57" s="5" t="s">
        <v>40</v>
      </c>
      <c r="G57" s="5" t="s">
        <v>100</v>
      </c>
      <c r="H57" s="5" t="s">
        <v>86</v>
      </c>
      <c r="I57" s="5" t="s">
        <v>33</v>
      </c>
      <c r="J57" s="5" t="s">
        <v>41</v>
      </c>
      <c r="K57" s="5" t="s">
        <v>41</v>
      </c>
      <c r="L57" s="5" t="s">
        <v>34</v>
      </c>
      <c r="M57" s="5" t="s">
        <v>41</v>
      </c>
      <c r="N57" s="5" t="s">
        <v>27</v>
      </c>
      <c r="O57" s="5">
        <v>25</v>
      </c>
      <c r="P57" s="5">
        <v>188</v>
      </c>
      <c r="Q57" s="5">
        <v>20</v>
      </c>
      <c r="R57" s="5" t="s">
        <v>28</v>
      </c>
      <c r="S57" s="5" t="s">
        <v>29</v>
      </c>
      <c r="T57" s="5" t="s">
        <v>67</v>
      </c>
      <c r="U57" s="7" t="s">
        <v>139</v>
      </c>
    </row>
    <row r="58" spans="1:21" x14ac:dyDescent="0.25">
      <c r="A58" s="4">
        <v>829819</v>
      </c>
      <c r="B58" s="5" t="s">
        <v>111</v>
      </c>
      <c r="C58" s="6">
        <v>42144</v>
      </c>
      <c r="D58" s="5" t="s">
        <v>350</v>
      </c>
      <c r="E58" s="5" t="s">
        <v>64</v>
      </c>
      <c r="F58" s="5" t="s">
        <v>127</v>
      </c>
      <c r="G58" s="5" t="s">
        <v>136</v>
      </c>
      <c r="H58" s="5" t="s">
        <v>64</v>
      </c>
      <c r="I58" s="5" t="s">
        <v>24</v>
      </c>
      <c r="J58" s="5" t="s">
        <v>37</v>
      </c>
      <c r="K58" s="5" t="s">
        <v>24</v>
      </c>
      <c r="L58" s="5" t="s">
        <v>34</v>
      </c>
      <c r="M58" s="5" t="s">
        <v>24</v>
      </c>
      <c r="N58" s="5" t="s">
        <v>27</v>
      </c>
      <c r="O58" s="5">
        <v>71</v>
      </c>
      <c r="P58" s="5">
        <v>181</v>
      </c>
      <c r="Q58" s="5">
        <v>20</v>
      </c>
      <c r="R58" s="5" t="s">
        <v>28</v>
      </c>
      <c r="S58" s="5" t="s">
        <v>29</v>
      </c>
      <c r="T58" s="5" t="s">
        <v>105</v>
      </c>
      <c r="U58" s="7" t="s">
        <v>118</v>
      </c>
    </row>
    <row r="59" spans="1:21" x14ac:dyDescent="0.25">
      <c r="A59" s="4">
        <v>829821</v>
      </c>
      <c r="B59" s="5" t="s">
        <v>134</v>
      </c>
      <c r="C59" s="6">
        <v>42146</v>
      </c>
      <c r="D59" s="5" t="s">
        <v>350</v>
      </c>
      <c r="E59" s="5" t="s">
        <v>55</v>
      </c>
      <c r="F59" s="5" t="s">
        <v>135</v>
      </c>
      <c r="G59" s="5" t="s">
        <v>102</v>
      </c>
      <c r="H59" s="5" t="s">
        <v>55</v>
      </c>
      <c r="I59" s="5" t="s">
        <v>33</v>
      </c>
      <c r="J59" s="5" t="s">
        <v>24</v>
      </c>
      <c r="K59" s="5" t="s">
        <v>33</v>
      </c>
      <c r="L59" s="5" t="s">
        <v>26</v>
      </c>
      <c r="M59" s="5" t="s">
        <v>33</v>
      </c>
      <c r="N59" s="5" t="s">
        <v>38</v>
      </c>
      <c r="O59" s="5">
        <v>3</v>
      </c>
      <c r="P59" s="5">
        <v>140</v>
      </c>
      <c r="Q59" s="5">
        <v>20</v>
      </c>
      <c r="R59" s="5" t="s">
        <v>28</v>
      </c>
      <c r="S59" s="5" t="s">
        <v>29</v>
      </c>
      <c r="T59" s="5" t="s">
        <v>105</v>
      </c>
      <c r="U59" s="7" t="s">
        <v>155</v>
      </c>
    </row>
    <row r="60" spans="1:21" x14ac:dyDescent="0.25">
      <c r="A60" s="4">
        <v>829823</v>
      </c>
      <c r="B60" s="5" t="s">
        <v>42</v>
      </c>
      <c r="C60" s="6">
        <v>42148</v>
      </c>
      <c r="D60" s="5" t="s">
        <v>350</v>
      </c>
      <c r="E60" s="5" t="s">
        <v>72</v>
      </c>
      <c r="F60" s="5" t="s">
        <v>43</v>
      </c>
      <c r="G60" s="5" t="s">
        <v>61</v>
      </c>
      <c r="H60" s="5" t="s">
        <v>72</v>
      </c>
      <c r="I60" s="5" t="s">
        <v>41</v>
      </c>
      <c r="J60" s="5" t="s">
        <v>33</v>
      </c>
      <c r="K60" s="5" t="s">
        <v>33</v>
      </c>
      <c r="L60" s="5" t="s">
        <v>26</v>
      </c>
      <c r="M60" s="5" t="s">
        <v>41</v>
      </c>
      <c r="N60" s="5" t="s">
        <v>27</v>
      </c>
      <c r="O60" s="5">
        <v>41</v>
      </c>
      <c r="P60" s="5">
        <v>203</v>
      </c>
      <c r="Q60" s="5">
        <v>20</v>
      </c>
      <c r="R60" s="5" t="s">
        <v>28</v>
      </c>
      <c r="S60" s="5" t="s">
        <v>29</v>
      </c>
      <c r="T60" s="5" t="s">
        <v>67</v>
      </c>
      <c r="U60" s="7" t="s">
        <v>139</v>
      </c>
    </row>
    <row r="61" spans="1:21" x14ac:dyDescent="0.25">
      <c r="A61" s="4">
        <v>980901</v>
      </c>
      <c r="B61" s="5" t="s">
        <v>39</v>
      </c>
      <c r="C61" s="6">
        <v>42469</v>
      </c>
      <c r="D61" s="5" t="s">
        <v>351</v>
      </c>
      <c r="E61" s="5" t="s">
        <v>106</v>
      </c>
      <c r="F61" s="5" t="s">
        <v>40</v>
      </c>
      <c r="G61" s="5" t="s">
        <v>21</v>
      </c>
      <c r="H61" s="5" t="s">
        <v>106</v>
      </c>
      <c r="I61" s="5" t="s">
        <v>41</v>
      </c>
      <c r="J61" s="5" t="s">
        <v>171</v>
      </c>
      <c r="K61" s="5" t="s">
        <v>41</v>
      </c>
      <c r="L61" s="5" t="s">
        <v>34</v>
      </c>
      <c r="M61" s="5" t="s">
        <v>171</v>
      </c>
      <c r="N61" s="5" t="s">
        <v>38</v>
      </c>
      <c r="O61" s="5">
        <v>9</v>
      </c>
      <c r="P61" s="5">
        <v>122</v>
      </c>
      <c r="Q61" s="5">
        <v>20</v>
      </c>
      <c r="R61" s="5" t="s">
        <v>28</v>
      </c>
      <c r="S61" s="5" t="s">
        <v>29</v>
      </c>
      <c r="T61" s="5" t="s">
        <v>67</v>
      </c>
      <c r="U61" s="7" t="s">
        <v>126</v>
      </c>
    </row>
    <row r="62" spans="1:21" x14ac:dyDescent="0.25">
      <c r="A62" s="4">
        <v>980903</v>
      </c>
      <c r="B62" s="5" t="s">
        <v>42</v>
      </c>
      <c r="C62" s="6">
        <v>42470</v>
      </c>
      <c r="D62" s="5" t="s">
        <v>351</v>
      </c>
      <c r="E62" s="5" t="s">
        <v>160</v>
      </c>
      <c r="F62" s="5" t="s">
        <v>43</v>
      </c>
      <c r="G62" s="5" t="s">
        <v>21</v>
      </c>
      <c r="H62" s="5" t="s">
        <v>160</v>
      </c>
      <c r="I62" s="5" t="s">
        <v>25</v>
      </c>
      <c r="J62" s="5" t="s">
        <v>229</v>
      </c>
      <c r="K62" s="5" t="s">
        <v>25</v>
      </c>
      <c r="L62" s="5" t="s">
        <v>26</v>
      </c>
      <c r="M62" s="5" t="s">
        <v>25</v>
      </c>
      <c r="N62" s="5" t="s">
        <v>38</v>
      </c>
      <c r="O62" s="5">
        <v>9</v>
      </c>
      <c r="P62" s="5">
        <v>99</v>
      </c>
      <c r="Q62" s="5">
        <v>20</v>
      </c>
      <c r="R62" s="5" t="s">
        <v>28</v>
      </c>
      <c r="S62" s="5" t="s">
        <v>29</v>
      </c>
      <c r="T62" s="5" t="s">
        <v>70</v>
      </c>
      <c r="U62" s="7" t="s">
        <v>118</v>
      </c>
    </row>
    <row r="63" spans="1:21" x14ac:dyDescent="0.25">
      <c r="A63" s="4">
        <v>980905</v>
      </c>
      <c r="B63" s="5" t="s">
        <v>30</v>
      </c>
      <c r="C63" s="6">
        <v>42471</v>
      </c>
      <c r="D63" s="5" t="s">
        <v>351</v>
      </c>
      <c r="E63" s="5" t="s">
        <v>123</v>
      </c>
      <c r="F63" s="5" t="s">
        <v>172</v>
      </c>
      <c r="G63" s="5" t="s">
        <v>21</v>
      </c>
      <c r="H63" s="5" t="s">
        <v>123</v>
      </c>
      <c r="I63" s="5" t="s">
        <v>32</v>
      </c>
      <c r="J63" s="5" t="s">
        <v>277</v>
      </c>
      <c r="K63" s="5" t="s">
        <v>277</v>
      </c>
      <c r="L63" s="5" t="s">
        <v>26</v>
      </c>
      <c r="M63" s="5" t="s">
        <v>277</v>
      </c>
      <c r="N63" s="5" t="s">
        <v>38</v>
      </c>
      <c r="O63" s="5">
        <v>5</v>
      </c>
      <c r="P63" s="5">
        <v>162</v>
      </c>
      <c r="Q63" s="5">
        <v>20</v>
      </c>
      <c r="R63" s="5" t="s">
        <v>28</v>
      </c>
      <c r="S63" s="5" t="s">
        <v>29</v>
      </c>
      <c r="T63" s="5" t="s">
        <v>105</v>
      </c>
      <c r="U63" s="7" t="s">
        <v>110</v>
      </c>
    </row>
    <row r="64" spans="1:21" x14ac:dyDescent="0.25">
      <c r="A64" s="4">
        <v>980907</v>
      </c>
      <c r="B64" s="5" t="s">
        <v>20</v>
      </c>
      <c r="C64" s="6">
        <v>42472</v>
      </c>
      <c r="D64" s="5" t="s">
        <v>351</v>
      </c>
      <c r="E64" s="5" t="s">
        <v>64</v>
      </c>
      <c r="F64" s="5" t="s">
        <v>23</v>
      </c>
      <c r="G64" s="5" t="s">
        <v>21</v>
      </c>
      <c r="H64" s="5" t="s">
        <v>64</v>
      </c>
      <c r="I64" s="5" t="s">
        <v>24</v>
      </c>
      <c r="J64" s="5" t="s">
        <v>121</v>
      </c>
      <c r="K64" s="5" t="s">
        <v>121</v>
      </c>
      <c r="L64" s="5" t="s">
        <v>26</v>
      </c>
      <c r="M64" s="5" t="s">
        <v>24</v>
      </c>
      <c r="N64" s="5" t="s">
        <v>27</v>
      </c>
      <c r="O64" s="5">
        <v>45</v>
      </c>
      <c r="P64" s="5">
        <v>228</v>
      </c>
      <c r="Q64" s="5">
        <v>20</v>
      </c>
      <c r="R64" s="5" t="s">
        <v>28</v>
      </c>
      <c r="S64" s="5" t="s">
        <v>29</v>
      </c>
      <c r="T64" s="5" t="s">
        <v>67</v>
      </c>
      <c r="U64" s="7" t="s">
        <v>173</v>
      </c>
    </row>
    <row r="65" spans="1:21" x14ac:dyDescent="0.25">
      <c r="A65" s="4">
        <v>980909</v>
      </c>
      <c r="B65" s="5" t="s">
        <v>42</v>
      </c>
      <c r="C65" s="6">
        <v>42473</v>
      </c>
      <c r="D65" s="5" t="s">
        <v>351</v>
      </c>
      <c r="E65" s="5" t="s">
        <v>72</v>
      </c>
      <c r="F65" s="5" t="s">
        <v>43</v>
      </c>
      <c r="G65" s="5" t="s">
        <v>21</v>
      </c>
      <c r="H65" s="5" t="s">
        <v>72</v>
      </c>
      <c r="I65" s="5" t="s">
        <v>25</v>
      </c>
      <c r="J65" s="5" t="s">
        <v>41</v>
      </c>
      <c r="K65" s="5" t="s">
        <v>41</v>
      </c>
      <c r="L65" s="5" t="s">
        <v>26</v>
      </c>
      <c r="M65" s="5" t="s">
        <v>41</v>
      </c>
      <c r="N65" s="5" t="s">
        <v>38</v>
      </c>
      <c r="O65" s="5">
        <v>6</v>
      </c>
      <c r="P65" s="5">
        <v>188</v>
      </c>
      <c r="Q65" s="5">
        <v>20</v>
      </c>
      <c r="R65" s="5" t="s">
        <v>28</v>
      </c>
      <c r="S65" s="5" t="s">
        <v>29</v>
      </c>
      <c r="T65" s="5" t="s">
        <v>174</v>
      </c>
      <c r="U65" s="7" t="s">
        <v>70</v>
      </c>
    </row>
    <row r="66" spans="1:21" x14ac:dyDescent="0.25">
      <c r="A66" s="4">
        <v>980911</v>
      </c>
      <c r="B66" s="5" t="s">
        <v>175</v>
      </c>
      <c r="C66" s="6">
        <v>42474</v>
      </c>
      <c r="D66" s="5" t="s">
        <v>351</v>
      </c>
      <c r="E66" s="5" t="s">
        <v>123</v>
      </c>
      <c r="F66" s="5" t="s">
        <v>176</v>
      </c>
      <c r="G66" s="5" t="s">
        <v>21</v>
      </c>
      <c r="H66" s="5" t="s">
        <v>123</v>
      </c>
      <c r="I66" s="5" t="s">
        <v>277</v>
      </c>
      <c r="J66" s="5" t="s">
        <v>171</v>
      </c>
      <c r="K66" s="5" t="s">
        <v>171</v>
      </c>
      <c r="L66" s="5" t="s">
        <v>34</v>
      </c>
      <c r="M66" s="5" t="s">
        <v>277</v>
      </c>
      <c r="N66" s="5" t="s">
        <v>38</v>
      </c>
      <c r="O66" s="5">
        <v>7</v>
      </c>
      <c r="P66" s="5">
        <v>164</v>
      </c>
      <c r="Q66" s="5">
        <v>20</v>
      </c>
      <c r="R66" s="5" t="s">
        <v>28</v>
      </c>
      <c r="S66" s="5" t="s">
        <v>29</v>
      </c>
      <c r="T66" s="5" t="s">
        <v>110</v>
      </c>
      <c r="U66" s="7" t="s">
        <v>126</v>
      </c>
    </row>
    <row r="67" spans="1:21" x14ac:dyDescent="0.25">
      <c r="A67" s="4">
        <v>980913</v>
      </c>
      <c r="B67" s="5" t="s">
        <v>35</v>
      </c>
      <c r="C67" s="6">
        <v>42475</v>
      </c>
      <c r="D67" s="5" t="s">
        <v>351</v>
      </c>
      <c r="E67" s="5" t="s">
        <v>56</v>
      </c>
      <c r="F67" s="5" t="s">
        <v>36</v>
      </c>
      <c r="G67" s="5" t="s">
        <v>21</v>
      </c>
      <c r="H67" s="5" t="s">
        <v>56</v>
      </c>
      <c r="I67" s="5" t="s">
        <v>229</v>
      </c>
      <c r="J67" s="5" t="s">
        <v>32</v>
      </c>
      <c r="K67" s="5" t="s">
        <v>229</v>
      </c>
      <c r="L67" s="5" t="s">
        <v>26</v>
      </c>
      <c r="M67" s="5" t="s">
        <v>229</v>
      </c>
      <c r="N67" s="5" t="s">
        <v>38</v>
      </c>
      <c r="O67" s="5">
        <v>8</v>
      </c>
      <c r="P67" s="5">
        <v>112</v>
      </c>
      <c r="Q67" s="5">
        <v>20</v>
      </c>
      <c r="R67" s="5" t="s">
        <v>28</v>
      </c>
      <c r="S67" s="5" t="s">
        <v>29</v>
      </c>
      <c r="T67" s="5" t="s">
        <v>70</v>
      </c>
      <c r="U67" s="7" t="s">
        <v>118</v>
      </c>
    </row>
    <row r="68" spans="1:21" x14ac:dyDescent="0.25">
      <c r="A68" s="4">
        <v>980915</v>
      </c>
      <c r="B68" s="5" t="s">
        <v>47</v>
      </c>
      <c r="C68" s="6">
        <v>42476</v>
      </c>
      <c r="D68" s="5" t="s">
        <v>351</v>
      </c>
      <c r="E68" s="5" t="s">
        <v>71</v>
      </c>
      <c r="F68" s="5" t="s">
        <v>48</v>
      </c>
      <c r="G68" s="5" t="s">
        <v>21</v>
      </c>
      <c r="H68" s="5" t="s">
        <v>71</v>
      </c>
      <c r="I68" s="5" t="s">
        <v>121</v>
      </c>
      <c r="J68" s="5" t="s">
        <v>25</v>
      </c>
      <c r="K68" s="5" t="s">
        <v>121</v>
      </c>
      <c r="L68" s="5" t="s">
        <v>34</v>
      </c>
      <c r="M68" s="5" t="s">
        <v>25</v>
      </c>
      <c r="N68" s="5" t="s">
        <v>38</v>
      </c>
      <c r="O68" s="5">
        <v>8</v>
      </c>
      <c r="P68" s="5">
        <v>143</v>
      </c>
      <c r="Q68" s="5">
        <v>20</v>
      </c>
      <c r="R68" s="5" t="s">
        <v>28</v>
      </c>
      <c r="S68" s="5" t="s">
        <v>29</v>
      </c>
      <c r="T68" s="5" t="s">
        <v>105</v>
      </c>
      <c r="U68" s="7" t="s">
        <v>126</v>
      </c>
    </row>
    <row r="69" spans="1:21" x14ac:dyDescent="0.25">
      <c r="A69" s="4">
        <v>980917</v>
      </c>
      <c r="B69" s="5" t="s">
        <v>39</v>
      </c>
      <c r="C69" s="6">
        <v>42476</v>
      </c>
      <c r="D69" s="5" t="s">
        <v>351</v>
      </c>
      <c r="E69" s="5" t="s">
        <v>123</v>
      </c>
      <c r="F69" s="5" t="s">
        <v>40</v>
      </c>
      <c r="G69" s="5" t="s">
        <v>21</v>
      </c>
      <c r="H69" s="5" t="s">
        <v>123</v>
      </c>
      <c r="I69" s="5" t="s">
        <v>41</v>
      </c>
      <c r="J69" s="5" t="s">
        <v>277</v>
      </c>
      <c r="K69" s="5" t="s">
        <v>277</v>
      </c>
      <c r="L69" s="5" t="s">
        <v>26</v>
      </c>
      <c r="M69" s="5" t="s">
        <v>277</v>
      </c>
      <c r="N69" s="5" t="s">
        <v>38</v>
      </c>
      <c r="O69" s="5">
        <v>3</v>
      </c>
      <c r="P69" s="5">
        <v>144</v>
      </c>
      <c r="Q69" s="5">
        <v>20</v>
      </c>
      <c r="R69" s="5" t="s">
        <v>28</v>
      </c>
      <c r="S69" s="5" t="s">
        <v>29</v>
      </c>
      <c r="T69" s="5" t="s">
        <v>67</v>
      </c>
      <c r="U69" s="7" t="s">
        <v>173</v>
      </c>
    </row>
    <row r="70" spans="1:21" x14ac:dyDescent="0.25">
      <c r="A70" s="4">
        <v>980919</v>
      </c>
      <c r="B70" s="5" t="s">
        <v>30</v>
      </c>
      <c r="C70" s="6">
        <v>42477</v>
      </c>
      <c r="D70" s="5" t="s">
        <v>351</v>
      </c>
      <c r="E70" s="5" t="s">
        <v>122</v>
      </c>
      <c r="F70" s="5" t="s">
        <v>172</v>
      </c>
      <c r="G70" s="5" t="s">
        <v>21</v>
      </c>
      <c r="H70" s="5" t="s">
        <v>122</v>
      </c>
      <c r="I70" s="5" t="s">
        <v>32</v>
      </c>
      <c r="J70" s="5" t="s">
        <v>171</v>
      </c>
      <c r="K70" s="5" t="s">
        <v>171</v>
      </c>
      <c r="L70" s="5" t="s">
        <v>34</v>
      </c>
      <c r="M70" s="5" t="s">
        <v>32</v>
      </c>
      <c r="N70" s="5" t="s">
        <v>38</v>
      </c>
      <c r="O70" s="5">
        <v>6</v>
      </c>
      <c r="P70" s="5">
        <v>153</v>
      </c>
      <c r="Q70" s="5">
        <v>20</v>
      </c>
      <c r="R70" s="5" t="s">
        <v>28</v>
      </c>
      <c r="S70" s="5" t="s">
        <v>29</v>
      </c>
      <c r="T70" s="5" t="s">
        <v>70</v>
      </c>
      <c r="U70" s="7" t="s">
        <v>118</v>
      </c>
    </row>
    <row r="71" spans="1:21" x14ac:dyDescent="0.25">
      <c r="A71" s="4">
        <v>980921</v>
      </c>
      <c r="B71" s="5" t="s">
        <v>20</v>
      </c>
      <c r="C71" s="6">
        <v>42477</v>
      </c>
      <c r="D71" s="5" t="s">
        <v>351</v>
      </c>
      <c r="E71" s="5" t="s">
        <v>177</v>
      </c>
      <c r="F71" s="5" t="s">
        <v>23</v>
      </c>
      <c r="G71" s="5" t="s">
        <v>21</v>
      </c>
      <c r="H71" s="5" t="s">
        <v>177</v>
      </c>
      <c r="I71" s="5" t="s">
        <v>24</v>
      </c>
      <c r="J71" s="5" t="s">
        <v>229</v>
      </c>
      <c r="K71" s="5" t="s">
        <v>229</v>
      </c>
      <c r="L71" s="5" t="s">
        <v>26</v>
      </c>
      <c r="M71" s="5" t="s">
        <v>229</v>
      </c>
      <c r="N71" s="5" t="s">
        <v>38</v>
      </c>
      <c r="O71" s="5">
        <v>7</v>
      </c>
      <c r="P71" s="5">
        <v>192</v>
      </c>
      <c r="Q71" s="5">
        <v>20</v>
      </c>
      <c r="R71" s="5" t="s">
        <v>28</v>
      </c>
      <c r="S71" s="5" t="s">
        <v>29</v>
      </c>
      <c r="T71" s="5" t="s">
        <v>110</v>
      </c>
      <c r="U71" s="7" t="s">
        <v>178</v>
      </c>
    </row>
    <row r="72" spans="1:21" x14ac:dyDescent="0.25">
      <c r="A72" s="4">
        <v>980923</v>
      </c>
      <c r="B72" s="5" t="s">
        <v>47</v>
      </c>
      <c r="C72" s="6">
        <v>42478</v>
      </c>
      <c r="D72" s="5" t="s">
        <v>351</v>
      </c>
      <c r="E72" s="5" t="s">
        <v>82</v>
      </c>
      <c r="F72" s="5" t="s">
        <v>48</v>
      </c>
      <c r="G72" s="5" t="s">
        <v>21</v>
      </c>
      <c r="H72" s="5" t="s">
        <v>82</v>
      </c>
      <c r="I72" s="5" t="s">
        <v>121</v>
      </c>
      <c r="J72" s="5" t="s">
        <v>41</v>
      </c>
      <c r="K72" s="5" t="s">
        <v>121</v>
      </c>
      <c r="L72" s="5" t="s">
        <v>26</v>
      </c>
      <c r="M72" s="5" t="s">
        <v>121</v>
      </c>
      <c r="N72" s="5" t="s">
        <v>38</v>
      </c>
      <c r="O72" s="5">
        <v>7</v>
      </c>
      <c r="P72" s="5">
        <v>143</v>
      </c>
      <c r="Q72" s="5">
        <v>20</v>
      </c>
      <c r="R72" s="5" t="s">
        <v>28</v>
      </c>
      <c r="S72" s="5" t="s">
        <v>29</v>
      </c>
      <c r="T72" s="5" t="s">
        <v>67</v>
      </c>
      <c r="U72" s="7" t="s">
        <v>173</v>
      </c>
    </row>
    <row r="73" spans="1:21" x14ac:dyDescent="0.25">
      <c r="A73" s="4">
        <v>980925</v>
      </c>
      <c r="B73" s="5" t="s">
        <v>30</v>
      </c>
      <c r="C73" s="6">
        <v>42479</v>
      </c>
      <c r="D73" s="5" t="s">
        <v>351</v>
      </c>
      <c r="E73" s="5" t="s">
        <v>79</v>
      </c>
      <c r="F73" s="5" t="s">
        <v>172</v>
      </c>
      <c r="G73" s="5" t="s">
        <v>21</v>
      </c>
      <c r="H73" s="5" t="s">
        <v>79</v>
      </c>
      <c r="I73" s="5" t="s">
        <v>32</v>
      </c>
      <c r="J73" s="5" t="s">
        <v>25</v>
      </c>
      <c r="K73" s="5" t="s">
        <v>25</v>
      </c>
      <c r="L73" s="5" t="s">
        <v>26</v>
      </c>
      <c r="M73" s="5" t="s">
        <v>25</v>
      </c>
      <c r="N73" s="5" t="s">
        <v>38</v>
      </c>
      <c r="O73" s="5">
        <v>6</v>
      </c>
      <c r="P73" s="5">
        <v>139</v>
      </c>
      <c r="Q73" s="5">
        <v>20</v>
      </c>
      <c r="R73" s="5" t="s">
        <v>28</v>
      </c>
      <c r="S73" s="5" t="s">
        <v>29</v>
      </c>
      <c r="T73" s="5" t="s">
        <v>70</v>
      </c>
      <c r="U73" s="7" t="s">
        <v>118</v>
      </c>
    </row>
    <row r="74" spans="1:21" x14ac:dyDescent="0.25">
      <c r="A74" s="4">
        <v>980927</v>
      </c>
      <c r="B74" s="5" t="s">
        <v>39</v>
      </c>
      <c r="C74" s="6">
        <v>42480</v>
      </c>
      <c r="D74" s="5" t="s">
        <v>351</v>
      </c>
      <c r="E74" s="5" t="s">
        <v>72</v>
      </c>
      <c r="F74" s="5" t="s">
        <v>40</v>
      </c>
      <c r="G74" s="5" t="s">
        <v>21</v>
      </c>
      <c r="H74" s="5" t="s">
        <v>72</v>
      </c>
      <c r="I74" s="5" t="s">
        <v>41</v>
      </c>
      <c r="J74" s="5" t="s">
        <v>24</v>
      </c>
      <c r="K74" s="5" t="s">
        <v>41</v>
      </c>
      <c r="L74" s="5" t="s">
        <v>26</v>
      </c>
      <c r="M74" s="5" t="s">
        <v>41</v>
      </c>
      <c r="N74" s="5" t="s">
        <v>38</v>
      </c>
      <c r="O74" s="5">
        <v>6</v>
      </c>
      <c r="P74" s="5">
        <v>171</v>
      </c>
      <c r="Q74" s="5">
        <v>20</v>
      </c>
      <c r="R74" s="5" t="s">
        <v>28</v>
      </c>
      <c r="S74" s="5" t="s">
        <v>29</v>
      </c>
      <c r="T74" s="5" t="s">
        <v>105</v>
      </c>
      <c r="U74" s="7" t="s">
        <v>126</v>
      </c>
    </row>
    <row r="75" spans="1:21" x14ac:dyDescent="0.25">
      <c r="A75" s="4">
        <v>980929</v>
      </c>
      <c r="B75" s="5" t="s">
        <v>175</v>
      </c>
      <c r="C75" s="6">
        <v>42481</v>
      </c>
      <c r="D75" s="5" t="s">
        <v>351</v>
      </c>
      <c r="E75" s="5" t="s">
        <v>147</v>
      </c>
      <c r="F75" s="5" t="s">
        <v>176</v>
      </c>
      <c r="G75" s="5" t="s">
        <v>21</v>
      </c>
      <c r="H75" s="5" t="s">
        <v>147</v>
      </c>
      <c r="I75" s="5" t="s">
        <v>277</v>
      </c>
      <c r="J75" s="5" t="s">
        <v>121</v>
      </c>
      <c r="K75" s="5" t="s">
        <v>121</v>
      </c>
      <c r="L75" s="5" t="s">
        <v>26</v>
      </c>
      <c r="M75" s="5" t="s">
        <v>121</v>
      </c>
      <c r="N75" s="5" t="s">
        <v>38</v>
      </c>
      <c r="O75" s="5">
        <v>10</v>
      </c>
      <c r="P75" s="5">
        <v>136</v>
      </c>
      <c r="Q75" s="5">
        <v>20</v>
      </c>
      <c r="R75" s="5" t="s">
        <v>28</v>
      </c>
      <c r="S75" s="5" t="s">
        <v>29</v>
      </c>
      <c r="T75" s="5" t="s">
        <v>179</v>
      </c>
      <c r="U75" s="7" t="s">
        <v>67</v>
      </c>
    </row>
    <row r="76" spans="1:21" x14ac:dyDescent="0.25">
      <c r="A76" s="4">
        <v>980931</v>
      </c>
      <c r="B76" s="5" t="s">
        <v>111</v>
      </c>
      <c r="C76" s="6">
        <v>42482</v>
      </c>
      <c r="D76" s="5" t="s">
        <v>351</v>
      </c>
      <c r="E76" s="5" t="s">
        <v>64</v>
      </c>
      <c r="F76" s="5" t="s">
        <v>127</v>
      </c>
      <c r="G76" s="5" t="s">
        <v>21</v>
      </c>
      <c r="H76" s="5" t="s">
        <v>64</v>
      </c>
      <c r="I76" s="5" t="s">
        <v>171</v>
      </c>
      <c r="J76" s="5" t="s">
        <v>24</v>
      </c>
      <c r="K76" s="5" t="s">
        <v>171</v>
      </c>
      <c r="L76" s="5" t="s">
        <v>26</v>
      </c>
      <c r="M76" s="5" t="s">
        <v>24</v>
      </c>
      <c r="N76" s="5" t="s">
        <v>27</v>
      </c>
      <c r="O76" s="5">
        <v>13</v>
      </c>
      <c r="P76" s="5">
        <v>186</v>
      </c>
      <c r="Q76" s="5">
        <v>20</v>
      </c>
      <c r="R76" s="5" t="s">
        <v>28</v>
      </c>
      <c r="S76" s="5" t="s">
        <v>29</v>
      </c>
      <c r="T76" s="5" t="s">
        <v>155</v>
      </c>
      <c r="U76" s="7" t="s">
        <v>173</v>
      </c>
    </row>
    <row r="77" spans="1:21" x14ac:dyDescent="0.25">
      <c r="A77" s="4">
        <v>980933</v>
      </c>
      <c r="B77" s="5" t="s">
        <v>35</v>
      </c>
      <c r="C77" s="6">
        <v>42483</v>
      </c>
      <c r="D77" s="5" t="s">
        <v>351</v>
      </c>
      <c r="E77" s="5" t="s">
        <v>131</v>
      </c>
      <c r="F77" s="5" t="s">
        <v>36</v>
      </c>
      <c r="G77" s="5" t="s">
        <v>21</v>
      </c>
      <c r="H77" s="5" t="s">
        <v>131</v>
      </c>
      <c r="I77" s="5" t="s">
        <v>229</v>
      </c>
      <c r="J77" s="5" t="s">
        <v>41</v>
      </c>
      <c r="K77" s="5" t="s">
        <v>41</v>
      </c>
      <c r="L77" s="5" t="s">
        <v>26</v>
      </c>
      <c r="M77" s="5" t="s">
        <v>229</v>
      </c>
      <c r="N77" s="5" t="s">
        <v>27</v>
      </c>
      <c r="O77" s="5">
        <v>10</v>
      </c>
      <c r="P77" s="5">
        <v>165</v>
      </c>
      <c r="Q77" s="5">
        <v>20</v>
      </c>
      <c r="R77" s="5" t="s">
        <v>28</v>
      </c>
      <c r="S77" s="5" t="s">
        <v>29</v>
      </c>
      <c r="T77" s="5" t="s">
        <v>70</v>
      </c>
      <c r="U77" s="7" t="s">
        <v>118</v>
      </c>
    </row>
    <row r="78" spans="1:21" x14ac:dyDescent="0.25">
      <c r="A78" s="4">
        <v>980935</v>
      </c>
      <c r="B78" s="5" t="s">
        <v>47</v>
      </c>
      <c r="C78" s="6">
        <v>42483</v>
      </c>
      <c r="D78" s="5" t="s">
        <v>351</v>
      </c>
      <c r="E78" s="5" t="s">
        <v>180</v>
      </c>
      <c r="F78" s="5" t="s">
        <v>48</v>
      </c>
      <c r="G78" s="5" t="s">
        <v>21</v>
      </c>
      <c r="H78" s="5" t="s">
        <v>180</v>
      </c>
      <c r="I78" s="5" t="s">
        <v>121</v>
      </c>
      <c r="J78" s="5" t="s">
        <v>32</v>
      </c>
      <c r="K78" s="5" t="s">
        <v>121</v>
      </c>
      <c r="L78" s="5" t="s">
        <v>26</v>
      </c>
      <c r="M78" s="5" t="s">
        <v>121</v>
      </c>
      <c r="N78" s="5" t="s">
        <v>38</v>
      </c>
      <c r="O78" s="5">
        <v>5</v>
      </c>
      <c r="P78" s="5">
        <v>144</v>
      </c>
      <c r="Q78" s="5">
        <v>20</v>
      </c>
      <c r="R78" s="5" t="s">
        <v>28</v>
      </c>
      <c r="S78" s="5" t="s">
        <v>29</v>
      </c>
      <c r="T78" s="5" t="s">
        <v>105</v>
      </c>
      <c r="U78" s="7" t="s">
        <v>126</v>
      </c>
    </row>
    <row r="79" spans="1:21" x14ac:dyDescent="0.25">
      <c r="A79" s="4">
        <v>980937</v>
      </c>
      <c r="B79" s="5" t="s">
        <v>175</v>
      </c>
      <c r="C79" s="6">
        <v>42484</v>
      </c>
      <c r="D79" s="5" t="s">
        <v>351</v>
      </c>
      <c r="E79" s="5" t="s">
        <v>92</v>
      </c>
      <c r="F79" s="5" t="s">
        <v>176</v>
      </c>
      <c r="G79" s="5" t="s">
        <v>21</v>
      </c>
      <c r="H79" s="5" t="s">
        <v>92</v>
      </c>
      <c r="I79" s="5" t="s">
        <v>277</v>
      </c>
      <c r="J79" s="5" t="s">
        <v>24</v>
      </c>
      <c r="K79" s="5" t="s">
        <v>24</v>
      </c>
      <c r="L79" s="5" t="s">
        <v>34</v>
      </c>
      <c r="M79" s="5" t="s">
        <v>277</v>
      </c>
      <c r="N79" s="5" t="s">
        <v>38</v>
      </c>
      <c r="O79" s="5">
        <v>6</v>
      </c>
      <c r="P79" s="5">
        <v>181</v>
      </c>
      <c r="Q79" s="5">
        <v>20</v>
      </c>
      <c r="R79" s="5" t="s">
        <v>28</v>
      </c>
      <c r="S79" s="5" t="s">
        <v>29</v>
      </c>
      <c r="T79" s="5" t="s">
        <v>179</v>
      </c>
      <c r="U79" s="7" t="s">
        <v>113</v>
      </c>
    </row>
    <row r="80" spans="1:21" x14ac:dyDescent="0.25">
      <c r="A80" s="4">
        <v>980939</v>
      </c>
      <c r="B80" s="5" t="s">
        <v>111</v>
      </c>
      <c r="C80" s="6">
        <v>42484</v>
      </c>
      <c r="D80" s="5" t="s">
        <v>351</v>
      </c>
      <c r="E80" s="5" t="s">
        <v>181</v>
      </c>
      <c r="F80" s="5" t="s">
        <v>127</v>
      </c>
      <c r="G80" s="5" t="s">
        <v>21</v>
      </c>
      <c r="H80" s="5" t="s">
        <v>181</v>
      </c>
      <c r="I80" s="5" t="s">
        <v>171</v>
      </c>
      <c r="J80" s="5" t="s">
        <v>25</v>
      </c>
      <c r="K80" s="5" t="s">
        <v>25</v>
      </c>
      <c r="L80" s="5" t="s">
        <v>26</v>
      </c>
      <c r="M80" s="5" t="s">
        <v>25</v>
      </c>
      <c r="N80" s="5" t="s">
        <v>38</v>
      </c>
      <c r="O80" s="5">
        <v>2</v>
      </c>
      <c r="P80" s="5">
        <v>161</v>
      </c>
      <c r="Q80" s="5">
        <v>20</v>
      </c>
      <c r="R80" s="5" t="s">
        <v>28</v>
      </c>
      <c r="S80" s="5" t="s">
        <v>29</v>
      </c>
      <c r="T80" s="5" t="s">
        <v>155</v>
      </c>
      <c r="U80" s="7" t="s">
        <v>178</v>
      </c>
    </row>
    <row r="81" spans="1:21" x14ac:dyDescent="0.25">
      <c r="A81" s="4">
        <v>980941</v>
      </c>
      <c r="B81" s="5" t="s">
        <v>30</v>
      </c>
      <c r="C81" s="6">
        <v>42485</v>
      </c>
      <c r="D81" s="5" t="s">
        <v>351</v>
      </c>
      <c r="E81" s="5" t="s">
        <v>133</v>
      </c>
      <c r="F81" s="5" t="s">
        <v>172</v>
      </c>
      <c r="G81" s="5" t="s">
        <v>21</v>
      </c>
      <c r="H81" s="5" t="s">
        <v>133</v>
      </c>
      <c r="I81" s="5" t="s">
        <v>32</v>
      </c>
      <c r="J81" s="5" t="s">
        <v>41</v>
      </c>
      <c r="K81" s="5" t="s">
        <v>32</v>
      </c>
      <c r="L81" s="5" t="s">
        <v>26</v>
      </c>
      <c r="M81" s="5" t="s">
        <v>41</v>
      </c>
      <c r="N81" s="5" t="s">
        <v>27</v>
      </c>
      <c r="O81" s="5">
        <v>25</v>
      </c>
      <c r="P81" s="5">
        <v>190</v>
      </c>
      <c r="Q81" s="5">
        <v>20</v>
      </c>
      <c r="R81" s="5" t="s">
        <v>28</v>
      </c>
      <c r="S81" s="5" t="s">
        <v>29</v>
      </c>
      <c r="T81" s="5" t="s">
        <v>174</v>
      </c>
      <c r="U81" s="7" t="s">
        <v>91</v>
      </c>
    </row>
    <row r="82" spans="1:21" x14ac:dyDescent="0.25">
      <c r="A82" s="4">
        <v>980943</v>
      </c>
      <c r="B82" s="5" t="s">
        <v>47</v>
      </c>
      <c r="C82" s="6">
        <v>42486</v>
      </c>
      <c r="D82" s="5" t="s">
        <v>351</v>
      </c>
      <c r="E82" s="5" t="s">
        <v>182</v>
      </c>
      <c r="F82" s="5" t="s">
        <v>48</v>
      </c>
      <c r="G82" s="5" t="s">
        <v>21</v>
      </c>
      <c r="H82" s="5" t="s">
        <v>182</v>
      </c>
      <c r="I82" s="5" t="s">
        <v>121</v>
      </c>
      <c r="J82" s="5" t="s">
        <v>171</v>
      </c>
      <c r="K82" s="5" t="s">
        <v>171</v>
      </c>
      <c r="L82" s="5" t="s">
        <v>26</v>
      </c>
      <c r="M82" s="5" t="s">
        <v>171</v>
      </c>
      <c r="N82" s="5" t="s">
        <v>27</v>
      </c>
      <c r="O82" s="5">
        <v>34</v>
      </c>
      <c r="P82" s="5">
        <v>61</v>
      </c>
      <c r="Q82" s="5">
        <v>11</v>
      </c>
      <c r="R82" s="5" t="s">
        <v>28</v>
      </c>
      <c r="S82" s="5" t="s">
        <v>57</v>
      </c>
      <c r="T82" s="5" t="s">
        <v>183</v>
      </c>
      <c r="U82" s="7" t="s">
        <v>126</v>
      </c>
    </row>
    <row r="83" spans="1:21" x14ac:dyDescent="0.25">
      <c r="A83" s="4">
        <v>980945</v>
      </c>
      <c r="B83" s="5" t="s">
        <v>35</v>
      </c>
      <c r="C83" s="6">
        <v>42487</v>
      </c>
      <c r="D83" s="5" t="s">
        <v>351</v>
      </c>
      <c r="E83" s="5" t="s">
        <v>184</v>
      </c>
      <c r="F83" s="5" t="s">
        <v>36</v>
      </c>
      <c r="G83" s="5" t="s">
        <v>21</v>
      </c>
      <c r="H83" s="5" t="s">
        <v>184</v>
      </c>
      <c r="I83" s="5" t="s">
        <v>229</v>
      </c>
      <c r="J83" s="5" t="s">
        <v>277</v>
      </c>
      <c r="K83" s="5" t="s">
        <v>229</v>
      </c>
      <c r="L83" s="5" t="s">
        <v>26</v>
      </c>
      <c r="M83" s="5" t="s">
        <v>277</v>
      </c>
      <c r="N83" s="5" t="s">
        <v>27</v>
      </c>
      <c r="O83" s="5">
        <v>1</v>
      </c>
      <c r="P83" s="5">
        <v>173</v>
      </c>
      <c r="Q83" s="5">
        <v>20</v>
      </c>
      <c r="R83" s="5" t="s">
        <v>28</v>
      </c>
      <c r="S83" s="5" t="s">
        <v>29</v>
      </c>
      <c r="T83" s="5" t="s">
        <v>63</v>
      </c>
      <c r="U83" s="7" t="s">
        <v>70</v>
      </c>
    </row>
    <row r="84" spans="1:21" x14ac:dyDescent="0.25">
      <c r="A84" s="4">
        <v>980947</v>
      </c>
      <c r="B84" s="5" t="s">
        <v>39</v>
      </c>
      <c r="C84" s="6">
        <v>42488</v>
      </c>
      <c r="D84" s="5" t="s">
        <v>351</v>
      </c>
      <c r="E84" s="5" t="s">
        <v>72</v>
      </c>
      <c r="F84" s="5" t="s">
        <v>40</v>
      </c>
      <c r="G84" s="5" t="s">
        <v>21</v>
      </c>
      <c r="H84" s="5" t="s">
        <v>72</v>
      </c>
      <c r="I84" s="5" t="s">
        <v>41</v>
      </c>
      <c r="J84" s="5" t="s">
        <v>25</v>
      </c>
      <c r="K84" s="5" t="s">
        <v>41</v>
      </c>
      <c r="L84" s="5" t="s">
        <v>26</v>
      </c>
      <c r="M84" s="5" t="s">
        <v>41</v>
      </c>
      <c r="N84" s="5" t="s">
        <v>38</v>
      </c>
      <c r="O84" s="5">
        <v>6</v>
      </c>
      <c r="P84" s="5">
        <v>175</v>
      </c>
      <c r="Q84" s="5">
        <v>20</v>
      </c>
      <c r="R84" s="5" t="s">
        <v>28</v>
      </c>
      <c r="S84" s="5" t="s">
        <v>29</v>
      </c>
      <c r="T84" s="5" t="s">
        <v>174</v>
      </c>
      <c r="U84" s="7" t="s">
        <v>91</v>
      </c>
    </row>
    <row r="85" spans="1:21" x14ac:dyDescent="0.25">
      <c r="A85" s="4">
        <v>980949</v>
      </c>
      <c r="B85" s="5" t="s">
        <v>111</v>
      </c>
      <c r="C85" s="6">
        <v>42489</v>
      </c>
      <c r="D85" s="5" t="s">
        <v>351</v>
      </c>
      <c r="E85" s="5" t="s">
        <v>73</v>
      </c>
      <c r="F85" s="5" t="s">
        <v>127</v>
      </c>
      <c r="G85" s="5" t="s">
        <v>21</v>
      </c>
      <c r="H85" s="5" t="s">
        <v>73</v>
      </c>
      <c r="I85" s="5" t="s">
        <v>171</v>
      </c>
      <c r="J85" s="5" t="s">
        <v>277</v>
      </c>
      <c r="K85" s="5" t="s">
        <v>277</v>
      </c>
      <c r="L85" s="5" t="s">
        <v>26</v>
      </c>
      <c r="M85" s="5" t="s">
        <v>277</v>
      </c>
      <c r="N85" s="5" t="s">
        <v>38</v>
      </c>
      <c r="O85" s="5">
        <v>3</v>
      </c>
      <c r="P85" s="5">
        <v>196</v>
      </c>
      <c r="Q85" s="5">
        <v>20</v>
      </c>
      <c r="R85" s="5" t="s">
        <v>28</v>
      </c>
      <c r="S85" s="5" t="s">
        <v>29</v>
      </c>
      <c r="T85" s="5" t="s">
        <v>155</v>
      </c>
      <c r="U85" s="7" t="s">
        <v>113</v>
      </c>
    </row>
    <row r="86" spans="1:21" x14ac:dyDescent="0.25">
      <c r="A86" s="4">
        <v>980951</v>
      </c>
      <c r="B86" s="5" t="s">
        <v>35</v>
      </c>
      <c r="C86" s="6">
        <v>42490</v>
      </c>
      <c r="D86" s="5" t="s">
        <v>351</v>
      </c>
      <c r="E86" s="5" t="s">
        <v>185</v>
      </c>
      <c r="F86" s="5" t="s">
        <v>36</v>
      </c>
      <c r="G86" s="5" t="s">
        <v>21</v>
      </c>
      <c r="H86" s="5" t="s">
        <v>185</v>
      </c>
      <c r="I86" s="5" t="s">
        <v>229</v>
      </c>
      <c r="J86" s="5" t="s">
        <v>25</v>
      </c>
      <c r="K86" s="5" t="s">
        <v>25</v>
      </c>
      <c r="L86" s="5" t="s">
        <v>26</v>
      </c>
      <c r="M86" s="5" t="s">
        <v>229</v>
      </c>
      <c r="N86" s="5" t="s">
        <v>27</v>
      </c>
      <c r="O86" s="5">
        <v>27</v>
      </c>
      <c r="P86" s="5">
        <v>187</v>
      </c>
      <c r="Q86" s="5">
        <v>20</v>
      </c>
      <c r="R86" s="5" t="s">
        <v>28</v>
      </c>
      <c r="S86" s="5" t="s">
        <v>29</v>
      </c>
      <c r="T86" s="5" t="s">
        <v>186</v>
      </c>
      <c r="U86" s="7" t="s">
        <v>63</v>
      </c>
    </row>
    <row r="87" spans="1:21" x14ac:dyDescent="0.25">
      <c r="A87" s="4">
        <v>980953</v>
      </c>
      <c r="B87" s="5" t="s">
        <v>47</v>
      </c>
      <c r="C87" s="6">
        <v>42490</v>
      </c>
      <c r="D87" s="5" t="s">
        <v>351</v>
      </c>
      <c r="E87" s="5" t="s">
        <v>82</v>
      </c>
      <c r="F87" s="5" t="s">
        <v>48</v>
      </c>
      <c r="G87" s="5" t="s">
        <v>21</v>
      </c>
      <c r="H87" s="5" t="s">
        <v>82</v>
      </c>
      <c r="I87" s="5" t="s">
        <v>121</v>
      </c>
      <c r="J87" s="5" t="s">
        <v>24</v>
      </c>
      <c r="K87" s="5" t="s">
        <v>24</v>
      </c>
      <c r="L87" s="5" t="s">
        <v>26</v>
      </c>
      <c r="M87" s="5" t="s">
        <v>121</v>
      </c>
      <c r="N87" s="5" t="s">
        <v>27</v>
      </c>
      <c r="O87" s="5">
        <v>15</v>
      </c>
      <c r="P87" s="5">
        <v>195</v>
      </c>
      <c r="Q87" s="5">
        <v>20</v>
      </c>
      <c r="R87" s="5" t="s">
        <v>28</v>
      </c>
      <c r="S87" s="5" t="s">
        <v>29</v>
      </c>
      <c r="T87" s="5" t="s">
        <v>105</v>
      </c>
      <c r="U87" s="7" t="s">
        <v>67</v>
      </c>
    </row>
    <row r="88" spans="1:21" x14ac:dyDescent="0.25">
      <c r="A88" s="4">
        <v>980955</v>
      </c>
      <c r="B88" s="5" t="s">
        <v>175</v>
      </c>
      <c r="C88" s="6">
        <v>42491</v>
      </c>
      <c r="D88" s="5" t="s">
        <v>351</v>
      </c>
      <c r="E88" s="5" t="s">
        <v>152</v>
      </c>
      <c r="F88" s="5" t="s">
        <v>176</v>
      </c>
      <c r="G88" s="5" t="s">
        <v>21</v>
      </c>
      <c r="H88" s="5" t="s">
        <v>152</v>
      </c>
      <c r="I88" s="5" t="s">
        <v>277</v>
      </c>
      <c r="J88" s="5" t="s">
        <v>32</v>
      </c>
      <c r="K88" s="5" t="s">
        <v>277</v>
      </c>
      <c r="L88" s="5" t="s">
        <v>26</v>
      </c>
      <c r="M88" s="5" t="s">
        <v>32</v>
      </c>
      <c r="N88" s="5" t="s">
        <v>27</v>
      </c>
      <c r="O88" s="5">
        <v>23</v>
      </c>
      <c r="P88" s="5">
        <v>155</v>
      </c>
      <c r="Q88" s="5">
        <v>20</v>
      </c>
      <c r="R88" s="5" t="s">
        <v>28</v>
      </c>
      <c r="S88" s="5" t="s">
        <v>29</v>
      </c>
      <c r="T88" s="5" t="s">
        <v>113</v>
      </c>
      <c r="U88" s="7" t="s">
        <v>173</v>
      </c>
    </row>
    <row r="89" spans="1:21" x14ac:dyDescent="0.25">
      <c r="A89" s="4">
        <v>980957</v>
      </c>
      <c r="B89" s="5" t="s">
        <v>111</v>
      </c>
      <c r="C89" s="6">
        <v>42491</v>
      </c>
      <c r="D89" s="5" t="s">
        <v>351</v>
      </c>
      <c r="E89" s="5" t="s">
        <v>72</v>
      </c>
      <c r="F89" s="5" t="s">
        <v>127</v>
      </c>
      <c r="G89" s="5" t="s">
        <v>21</v>
      </c>
      <c r="H89" s="5" t="s">
        <v>72</v>
      </c>
      <c r="I89" s="5" t="s">
        <v>171</v>
      </c>
      <c r="J89" s="5" t="s">
        <v>41</v>
      </c>
      <c r="K89" s="5" t="s">
        <v>41</v>
      </c>
      <c r="L89" s="5" t="s">
        <v>26</v>
      </c>
      <c r="M89" s="5" t="s">
        <v>41</v>
      </c>
      <c r="N89" s="5" t="s">
        <v>38</v>
      </c>
      <c r="O89" s="5">
        <v>8</v>
      </c>
      <c r="P89" s="5">
        <v>160</v>
      </c>
      <c r="Q89" s="5">
        <v>20</v>
      </c>
      <c r="R89" s="5" t="s">
        <v>28</v>
      </c>
      <c r="S89" s="5" t="s">
        <v>29</v>
      </c>
      <c r="T89" s="5" t="s">
        <v>183</v>
      </c>
      <c r="U89" s="7" t="s">
        <v>91</v>
      </c>
    </row>
    <row r="90" spans="1:21" x14ac:dyDescent="0.25">
      <c r="A90" s="4">
        <v>980959</v>
      </c>
      <c r="B90" s="5" t="s">
        <v>20</v>
      </c>
      <c r="C90" s="6">
        <v>42492</v>
      </c>
      <c r="D90" s="5" t="s">
        <v>351</v>
      </c>
      <c r="E90" s="5" t="s">
        <v>160</v>
      </c>
      <c r="F90" s="5" t="s">
        <v>23</v>
      </c>
      <c r="G90" s="5" t="s">
        <v>21</v>
      </c>
      <c r="H90" s="5" t="s">
        <v>160</v>
      </c>
      <c r="I90" s="5" t="s">
        <v>24</v>
      </c>
      <c r="J90" s="5" t="s">
        <v>25</v>
      </c>
      <c r="K90" s="5" t="s">
        <v>25</v>
      </c>
      <c r="L90" s="5" t="s">
        <v>26</v>
      </c>
      <c r="M90" s="5" t="s">
        <v>25</v>
      </c>
      <c r="N90" s="5" t="s">
        <v>38</v>
      </c>
      <c r="O90" s="5">
        <v>5</v>
      </c>
      <c r="P90" s="5">
        <v>186</v>
      </c>
      <c r="Q90" s="5">
        <v>20</v>
      </c>
      <c r="R90" s="5" t="s">
        <v>28</v>
      </c>
      <c r="S90" s="5" t="s">
        <v>29</v>
      </c>
      <c r="T90" s="5" t="s">
        <v>63</v>
      </c>
      <c r="U90" s="7" t="s">
        <v>70</v>
      </c>
    </row>
    <row r="91" spans="1:21" x14ac:dyDescent="0.25">
      <c r="A91" s="4">
        <v>980961</v>
      </c>
      <c r="B91" s="5" t="s">
        <v>175</v>
      </c>
      <c r="C91" s="6">
        <v>42493</v>
      </c>
      <c r="D91" s="5" t="s">
        <v>351</v>
      </c>
      <c r="E91" s="5" t="s">
        <v>187</v>
      </c>
      <c r="F91" s="5" t="s">
        <v>176</v>
      </c>
      <c r="G91" s="5" t="s">
        <v>21</v>
      </c>
      <c r="H91" s="5" t="s">
        <v>187</v>
      </c>
      <c r="I91" s="5" t="s">
        <v>277</v>
      </c>
      <c r="J91" s="5" t="s">
        <v>229</v>
      </c>
      <c r="K91" s="5" t="s">
        <v>229</v>
      </c>
      <c r="L91" s="5" t="s">
        <v>26</v>
      </c>
      <c r="M91" s="5" t="s">
        <v>229</v>
      </c>
      <c r="N91" s="5" t="s">
        <v>38</v>
      </c>
      <c r="O91" s="5">
        <v>8</v>
      </c>
      <c r="P91" s="5">
        <v>150</v>
      </c>
      <c r="Q91" s="5">
        <v>20</v>
      </c>
      <c r="R91" s="5" t="s">
        <v>28</v>
      </c>
      <c r="S91" s="5" t="s">
        <v>29</v>
      </c>
      <c r="T91" s="5" t="s">
        <v>155</v>
      </c>
      <c r="U91" s="7" t="s">
        <v>113</v>
      </c>
    </row>
    <row r="92" spans="1:21" x14ac:dyDescent="0.25">
      <c r="A92" s="4">
        <v>980963</v>
      </c>
      <c r="B92" s="5" t="s">
        <v>42</v>
      </c>
      <c r="C92" s="6">
        <v>42494</v>
      </c>
      <c r="D92" s="5" t="s">
        <v>351</v>
      </c>
      <c r="E92" s="5" t="s">
        <v>160</v>
      </c>
      <c r="F92" s="5" t="s">
        <v>43</v>
      </c>
      <c r="G92" s="5" t="s">
        <v>21</v>
      </c>
      <c r="H92" s="5" t="s">
        <v>160</v>
      </c>
      <c r="I92" s="5" t="s">
        <v>25</v>
      </c>
      <c r="J92" s="5" t="s">
        <v>32</v>
      </c>
      <c r="K92" s="5" t="s">
        <v>32</v>
      </c>
      <c r="L92" s="5" t="s">
        <v>26</v>
      </c>
      <c r="M92" s="5" t="s">
        <v>25</v>
      </c>
      <c r="N92" s="5" t="s">
        <v>27</v>
      </c>
      <c r="O92" s="5">
        <v>7</v>
      </c>
      <c r="P92" s="5">
        <v>165</v>
      </c>
      <c r="Q92" s="5">
        <v>20</v>
      </c>
      <c r="R92" s="5" t="s">
        <v>28</v>
      </c>
      <c r="S92" s="5" t="s">
        <v>29</v>
      </c>
      <c r="T92" s="5" t="s">
        <v>105</v>
      </c>
      <c r="U92" s="7" t="s">
        <v>67</v>
      </c>
    </row>
    <row r="93" spans="1:21" x14ac:dyDescent="0.25">
      <c r="A93" s="4">
        <v>980965</v>
      </c>
      <c r="B93" s="5" t="s">
        <v>35</v>
      </c>
      <c r="C93" s="6">
        <v>42495</v>
      </c>
      <c r="D93" s="5" t="s">
        <v>351</v>
      </c>
      <c r="E93" s="5" t="s">
        <v>106</v>
      </c>
      <c r="F93" s="5" t="s">
        <v>36</v>
      </c>
      <c r="G93" s="5" t="s">
        <v>21</v>
      </c>
      <c r="H93" s="5" t="s">
        <v>106</v>
      </c>
      <c r="I93" s="5" t="s">
        <v>229</v>
      </c>
      <c r="J93" s="5" t="s">
        <v>171</v>
      </c>
      <c r="K93" s="5" t="s">
        <v>171</v>
      </c>
      <c r="L93" s="5" t="s">
        <v>26</v>
      </c>
      <c r="M93" s="5" t="s">
        <v>171</v>
      </c>
      <c r="N93" s="5" t="s">
        <v>38</v>
      </c>
      <c r="O93" s="5">
        <v>7</v>
      </c>
      <c r="P93" s="5">
        <v>163</v>
      </c>
      <c r="Q93" s="5">
        <v>20</v>
      </c>
      <c r="R93" s="5" t="s">
        <v>28</v>
      </c>
      <c r="S93" s="5" t="s">
        <v>29</v>
      </c>
      <c r="T93" s="5" t="s">
        <v>118</v>
      </c>
      <c r="U93" s="7" t="s">
        <v>91</v>
      </c>
    </row>
    <row r="94" spans="1:21" x14ac:dyDescent="0.25">
      <c r="A94" s="4">
        <v>980967</v>
      </c>
      <c r="B94" s="5" t="s">
        <v>47</v>
      </c>
      <c r="C94" s="6">
        <v>42496</v>
      </c>
      <c r="D94" s="5" t="s">
        <v>351</v>
      </c>
      <c r="E94" s="5" t="s">
        <v>147</v>
      </c>
      <c r="F94" s="5" t="s">
        <v>48</v>
      </c>
      <c r="G94" s="5" t="s">
        <v>21</v>
      </c>
      <c r="H94" s="5" t="s">
        <v>147</v>
      </c>
      <c r="I94" s="5" t="s">
        <v>121</v>
      </c>
      <c r="J94" s="5" t="s">
        <v>277</v>
      </c>
      <c r="K94" s="5" t="s">
        <v>121</v>
      </c>
      <c r="L94" s="5" t="s">
        <v>26</v>
      </c>
      <c r="M94" s="5" t="s">
        <v>121</v>
      </c>
      <c r="N94" s="5" t="s">
        <v>38</v>
      </c>
      <c r="O94" s="5">
        <v>5</v>
      </c>
      <c r="P94" s="5">
        <v>127</v>
      </c>
      <c r="Q94" s="5">
        <v>20</v>
      </c>
      <c r="R94" s="5" t="s">
        <v>28</v>
      </c>
      <c r="S94" s="5" t="s">
        <v>29</v>
      </c>
      <c r="T94" s="5" t="s">
        <v>63</v>
      </c>
      <c r="U94" s="7" t="s">
        <v>70</v>
      </c>
    </row>
    <row r="95" spans="1:21" x14ac:dyDescent="0.25">
      <c r="A95" s="4">
        <v>980969</v>
      </c>
      <c r="B95" s="5" t="s">
        <v>20</v>
      </c>
      <c r="C95" s="6">
        <v>42497</v>
      </c>
      <c r="D95" s="5" t="s">
        <v>351</v>
      </c>
      <c r="E95" s="5" t="s">
        <v>92</v>
      </c>
      <c r="F95" s="5" t="s">
        <v>23</v>
      </c>
      <c r="G95" s="5" t="s">
        <v>21</v>
      </c>
      <c r="H95" s="5" t="s">
        <v>92</v>
      </c>
      <c r="I95" s="5" t="s">
        <v>24</v>
      </c>
      <c r="J95" s="5" t="s">
        <v>171</v>
      </c>
      <c r="K95" s="5" t="s">
        <v>24</v>
      </c>
      <c r="L95" s="5" t="s">
        <v>26</v>
      </c>
      <c r="M95" s="5" t="s">
        <v>24</v>
      </c>
      <c r="N95" s="5" t="s">
        <v>38</v>
      </c>
      <c r="O95" s="5">
        <v>7</v>
      </c>
      <c r="P95" s="5">
        <v>192</v>
      </c>
      <c r="Q95" s="5">
        <v>20</v>
      </c>
      <c r="R95" s="5" t="s">
        <v>28</v>
      </c>
      <c r="S95" s="5" t="s">
        <v>29</v>
      </c>
      <c r="T95" s="5" t="s">
        <v>155</v>
      </c>
      <c r="U95" s="7" t="s">
        <v>113</v>
      </c>
    </row>
    <row r="96" spans="1:21" x14ac:dyDescent="0.25">
      <c r="A96" s="4">
        <v>980971</v>
      </c>
      <c r="B96" s="5" t="s">
        <v>30</v>
      </c>
      <c r="C96" s="6">
        <v>42497</v>
      </c>
      <c r="D96" s="5" t="s">
        <v>351</v>
      </c>
      <c r="E96" s="5" t="s">
        <v>188</v>
      </c>
      <c r="F96" s="5" t="s">
        <v>172</v>
      </c>
      <c r="G96" s="5" t="s">
        <v>21</v>
      </c>
      <c r="H96" s="5" t="s">
        <v>188</v>
      </c>
      <c r="I96" s="5" t="s">
        <v>32</v>
      </c>
      <c r="J96" s="5" t="s">
        <v>229</v>
      </c>
      <c r="K96" s="5" t="s">
        <v>229</v>
      </c>
      <c r="L96" s="5" t="s">
        <v>26</v>
      </c>
      <c r="M96" s="5" t="s">
        <v>32</v>
      </c>
      <c r="N96" s="5" t="s">
        <v>27</v>
      </c>
      <c r="O96" s="5">
        <v>9</v>
      </c>
      <c r="P96" s="5">
        <v>182</v>
      </c>
      <c r="Q96" s="5">
        <v>20</v>
      </c>
      <c r="R96" s="5" t="s">
        <v>28</v>
      </c>
      <c r="S96" s="5" t="s">
        <v>29</v>
      </c>
      <c r="T96" s="5" t="s">
        <v>67</v>
      </c>
      <c r="U96" s="7" t="s">
        <v>126</v>
      </c>
    </row>
    <row r="97" spans="1:21" x14ac:dyDescent="0.25">
      <c r="A97" s="4">
        <v>980973</v>
      </c>
      <c r="B97" s="5" t="s">
        <v>107</v>
      </c>
      <c r="C97" s="6">
        <v>42498</v>
      </c>
      <c r="D97" s="5" t="s">
        <v>351</v>
      </c>
      <c r="E97" s="5" t="s">
        <v>55</v>
      </c>
      <c r="F97" s="5" t="s">
        <v>109</v>
      </c>
      <c r="G97" s="5" t="s">
        <v>21</v>
      </c>
      <c r="H97" s="5" t="s">
        <v>55</v>
      </c>
      <c r="I97" s="5" t="s">
        <v>41</v>
      </c>
      <c r="J97" s="5" t="s">
        <v>121</v>
      </c>
      <c r="K97" s="5" t="s">
        <v>41</v>
      </c>
      <c r="L97" s="5" t="s">
        <v>26</v>
      </c>
      <c r="M97" s="5" t="s">
        <v>121</v>
      </c>
      <c r="N97" s="5" t="s">
        <v>27</v>
      </c>
      <c r="O97" s="5">
        <v>85</v>
      </c>
      <c r="P97" s="5">
        <v>178</v>
      </c>
      <c r="Q97" s="5">
        <v>20</v>
      </c>
      <c r="R97" s="5" t="s">
        <v>28</v>
      </c>
      <c r="S97" s="5" t="s">
        <v>29</v>
      </c>
      <c r="T97" s="5" t="s">
        <v>70</v>
      </c>
      <c r="U97" s="7" t="s">
        <v>118</v>
      </c>
    </row>
    <row r="98" spans="1:21" x14ac:dyDescent="0.25">
      <c r="A98" s="4">
        <v>980975</v>
      </c>
      <c r="B98" s="5" t="s">
        <v>42</v>
      </c>
      <c r="C98" s="6">
        <v>42498</v>
      </c>
      <c r="D98" s="5" t="s">
        <v>351</v>
      </c>
      <c r="E98" s="5" t="s">
        <v>54</v>
      </c>
      <c r="F98" s="5" t="s">
        <v>43</v>
      </c>
      <c r="G98" s="5" t="s">
        <v>21</v>
      </c>
      <c r="H98" s="5" t="s">
        <v>54</v>
      </c>
      <c r="I98" s="5" t="s">
        <v>25</v>
      </c>
      <c r="J98" s="5" t="s">
        <v>277</v>
      </c>
      <c r="K98" s="5" t="s">
        <v>277</v>
      </c>
      <c r="L98" s="5" t="s">
        <v>26</v>
      </c>
      <c r="M98" s="5" t="s">
        <v>277</v>
      </c>
      <c r="N98" s="5" t="s">
        <v>38</v>
      </c>
      <c r="O98" s="5">
        <v>5</v>
      </c>
      <c r="P98" s="5">
        <v>159</v>
      </c>
      <c r="Q98" s="5">
        <v>20</v>
      </c>
      <c r="R98" s="5" t="s">
        <v>28</v>
      </c>
      <c r="S98" s="5" t="s">
        <v>29</v>
      </c>
      <c r="T98" s="5" t="s">
        <v>63</v>
      </c>
      <c r="U98" s="7" t="s">
        <v>91</v>
      </c>
    </row>
    <row r="99" spans="1:21" x14ac:dyDescent="0.25">
      <c r="A99" s="4">
        <v>980977</v>
      </c>
      <c r="B99" s="5" t="s">
        <v>30</v>
      </c>
      <c r="C99" s="6">
        <v>42499</v>
      </c>
      <c r="D99" s="5" t="s">
        <v>351</v>
      </c>
      <c r="E99" s="5" t="s">
        <v>45</v>
      </c>
      <c r="F99" s="5" t="s">
        <v>172</v>
      </c>
      <c r="G99" s="5" t="s">
        <v>21</v>
      </c>
      <c r="H99" s="5" t="s">
        <v>45</v>
      </c>
      <c r="I99" s="5" t="s">
        <v>32</v>
      </c>
      <c r="J99" s="5" t="s">
        <v>24</v>
      </c>
      <c r="K99" s="5" t="s">
        <v>32</v>
      </c>
      <c r="L99" s="5" t="s">
        <v>26</v>
      </c>
      <c r="M99" s="5" t="s">
        <v>24</v>
      </c>
      <c r="N99" s="5" t="s">
        <v>27</v>
      </c>
      <c r="O99" s="5">
        <v>1</v>
      </c>
      <c r="P99" s="5">
        <v>176</v>
      </c>
      <c r="Q99" s="5">
        <v>20</v>
      </c>
      <c r="R99" s="5" t="s">
        <v>28</v>
      </c>
      <c r="S99" s="5" t="s">
        <v>29</v>
      </c>
      <c r="T99" s="5" t="s">
        <v>105</v>
      </c>
      <c r="U99" s="7" t="s">
        <v>67</v>
      </c>
    </row>
    <row r="100" spans="1:21" x14ac:dyDescent="0.25">
      <c r="A100" s="4">
        <v>980979</v>
      </c>
      <c r="B100" s="5" t="s">
        <v>107</v>
      </c>
      <c r="C100" s="6">
        <v>42500</v>
      </c>
      <c r="D100" s="5" t="s">
        <v>351</v>
      </c>
      <c r="E100" s="5" t="s">
        <v>189</v>
      </c>
      <c r="F100" s="5" t="s">
        <v>109</v>
      </c>
      <c r="G100" s="5" t="s">
        <v>21</v>
      </c>
      <c r="H100" s="5" t="s">
        <v>189</v>
      </c>
      <c r="I100" s="5" t="s">
        <v>171</v>
      </c>
      <c r="J100" s="5" t="s">
        <v>121</v>
      </c>
      <c r="K100" s="5" t="s">
        <v>121</v>
      </c>
      <c r="L100" s="5" t="s">
        <v>34</v>
      </c>
      <c r="M100" s="5" t="s">
        <v>121</v>
      </c>
      <c r="N100" s="5" t="s">
        <v>27</v>
      </c>
      <c r="O100" s="5">
        <v>4</v>
      </c>
      <c r="P100" s="5">
        <v>138</v>
      </c>
      <c r="Q100" s="5">
        <v>20</v>
      </c>
      <c r="R100" s="5" t="s">
        <v>28</v>
      </c>
      <c r="S100" s="5" t="s">
        <v>29</v>
      </c>
      <c r="T100" s="5" t="s">
        <v>155</v>
      </c>
      <c r="U100" s="7" t="s">
        <v>173</v>
      </c>
    </row>
    <row r="101" spans="1:21" x14ac:dyDescent="0.25">
      <c r="A101" s="4">
        <v>980981</v>
      </c>
      <c r="B101" s="5" t="s">
        <v>20</v>
      </c>
      <c r="C101" s="6">
        <v>42501</v>
      </c>
      <c r="D101" s="5" t="s">
        <v>351</v>
      </c>
      <c r="E101" s="5" t="s">
        <v>190</v>
      </c>
      <c r="F101" s="5" t="s">
        <v>23</v>
      </c>
      <c r="G101" s="5" t="s">
        <v>21</v>
      </c>
      <c r="H101" s="5" t="s">
        <v>190</v>
      </c>
      <c r="I101" s="5" t="s">
        <v>24</v>
      </c>
      <c r="J101" s="5" t="s">
        <v>41</v>
      </c>
      <c r="K101" s="5" t="s">
        <v>41</v>
      </c>
      <c r="L101" s="5" t="s">
        <v>26</v>
      </c>
      <c r="M101" s="5" t="s">
        <v>41</v>
      </c>
      <c r="N101" s="5" t="s">
        <v>38</v>
      </c>
      <c r="O101" s="5">
        <v>6</v>
      </c>
      <c r="P101" s="5">
        <v>152</v>
      </c>
      <c r="Q101" s="5">
        <v>20</v>
      </c>
      <c r="R101" s="5" t="s">
        <v>28</v>
      </c>
      <c r="S101" s="5" t="s">
        <v>29</v>
      </c>
      <c r="T101" s="5" t="s">
        <v>183</v>
      </c>
      <c r="U101" s="7" t="s">
        <v>118</v>
      </c>
    </row>
    <row r="102" spans="1:21" x14ac:dyDescent="0.25">
      <c r="A102" s="4">
        <v>980983</v>
      </c>
      <c r="B102" s="5" t="s">
        <v>47</v>
      </c>
      <c r="C102" s="6">
        <v>42502</v>
      </c>
      <c r="D102" s="5" t="s">
        <v>351</v>
      </c>
      <c r="E102" s="5" t="s">
        <v>184</v>
      </c>
      <c r="F102" s="5" t="s">
        <v>48</v>
      </c>
      <c r="G102" s="5" t="s">
        <v>21</v>
      </c>
      <c r="H102" s="5" t="s">
        <v>184</v>
      </c>
      <c r="I102" s="5" t="s">
        <v>121</v>
      </c>
      <c r="J102" s="5" t="s">
        <v>229</v>
      </c>
      <c r="K102" s="5" t="s">
        <v>229</v>
      </c>
      <c r="L102" s="5" t="s">
        <v>26</v>
      </c>
      <c r="M102" s="5" t="s">
        <v>229</v>
      </c>
      <c r="N102" s="5" t="s">
        <v>38</v>
      </c>
      <c r="O102" s="5">
        <v>7</v>
      </c>
      <c r="P102" s="5">
        <v>147</v>
      </c>
      <c r="Q102" s="5">
        <v>20</v>
      </c>
      <c r="R102" s="5" t="s">
        <v>28</v>
      </c>
      <c r="S102" s="5" t="s">
        <v>29</v>
      </c>
      <c r="T102" s="5" t="s">
        <v>179</v>
      </c>
      <c r="U102" s="7" t="s">
        <v>63</v>
      </c>
    </row>
    <row r="103" spans="1:21" x14ac:dyDescent="0.25">
      <c r="A103" s="4">
        <v>980985</v>
      </c>
      <c r="B103" s="5" t="s">
        <v>107</v>
      </c>
      <c r="C103" s="6">
        <v>42503</v>
      </c>
      <c r="D103" s="5" t="s">
        <v>351</v>
      </c>
      <c r="E103" s="5" t="s">
        <v>188</v>
      </c>
      <c r="F103" s="5" t="s">
        <v>109</v>
      </c>
      <c r="G103" s="5" t="s">
        <v>21</v>
      </c>
      <c r="H103" s="5" t="s">
        <v>188</v>
      </c>
      <c r="I103" s="5" t="s">
        <v>41</v>
      </c>
      <c r="J103" s="5" t="s">
        <v>32</v>
      </c>
      <c r="K103" s="5" t="s">
        <v>41</v>
      </c>
      <c r="L103" s="5" t="s">
        <v>34</v>
      </c>
      <c r="M103" s="5" t="s">
        <v>32</v>
      </c>
      <c r="N103" s="5" t="s">
        <v>38</v>
      </c>
      <c r="O103" s="5">
        <v>7</v>
      </c>
      <c r="P103" s="5">
        <v>125</v>
      </c>
      <c r="Q103" s="5">
        <v>20</v>
      </c>
      <c r="R103" s="5" t="s">
        <v>28</v>
      </c>
      <c r="S103" s="5" t="s">
        <v>29</v>
      </c>
      <c r="T103" s="5" t="s">
        <v>67</v>
      </c>
      <c r="U103" s="7" t="s">
        <v>126</v>
      </c>
    </row>
    <row r="104" spans="1:21" x14ac:dyDescent="0.25">
      <c r="A104" s="4">
        <v>980987</v>
      </c>
      <c r="B104" s="5" t="s">
        <v>20</v>
      </c>
      <c r="C104" s="6">
        <v>42504</v>
      </c>
      <c r="D104" s="5" t="s">
        <v>351</v>
      </c>
      <c r="E104" s="5" t="s">
        <v>64</v>
      </c>
      <c r="F104" s="5" t="s">
        <v>23</v>
      </c>
      <c r="G104" s="5" t="s">
        <v>21</v>
      </c>
      <c r="H104" s="5" t="s">
        <v>64</v>
      </c>
      <c r="I104" s="5" t="s">
        <v>24</v>
      </c>
      <c r="J104" s="5" t="s">
        <v>277</v>
      </c>
      <c r="K104" s="5" t="s">
        <v>277</v>
      </c>
      <c r="L104" s="5" t="s">
        <v>26</v>
      </c>
      <c r="M104" s="5" t="s">
        <v>24</v>
      </c>
      <c r="N104" s="5" t="s">
        <v>27</v>
      </c>
      <c r="O104" s="5">
        <v>144</v>
      </c>
      <c r="P104" s="5">
        <v>249</v>
      </c>
      <c r="Q104" s="5">
        <v>20</v>
      </c>
      <c r="R104" s="5" t="s">
        <v>28</v>
      </c>
      <c r="S104" s="5" t="s">
        <v>29</v>
      </c>
      <c r="T104" s="5" t="s">
        <v>183</v>
      </c>
      <c r="U104" s="7" t="s">
        <v>173</v>
      </c>
    </row>
    <row r="105" spans="1:21" x14ac:dyDescent="0.25">
      <c r="A105" s="4">
        <v>980989</v>
      </c>
      <c r="B105" s="5" t="s">
        <v>42</v>
      </c>
      <c r="C105" s="6">
        <v>42504</v>
      </c>
      <c r="D105" s="5" t="s">
        <v>351</v>
      </c>
      <c r="E105" s="5" t="s">
        <v>51</v>
      </c>
      <c r="F105" s="5" t="s">
        <v>43</v>
      </c>
      <c r="G105" s="5" t="s">
        <v>21</v>
      </c>
      <c r="H105" s="5" t="s">
        <v>51</v>
      </c>
      <c r="I105" s="5" t="s">
        <v>25</v>
      </c>
      <c r="J105" s="5" t="s">
        <v>171</v>
      </c>
      <c r="K105" s="5" t="s">
        <v>171</v>
      </c>
      <c r="L105" s="5" t="s">
        <v>34</v>
      </c>
      <c r="M105" s="5" t="s">
        <v>25</v>
      </c>
      <c r="N105" s="5" t="s">
        <v>38</v>
      </c>
      <c r="O105" s="5">
        <v>8</v>
      </c>
      <c r="P105" s="5">
        <v>66</v>
      </c>
      <c r="Q105" s="5">
        <v>9</v>
      </c>
      <c r="R105" s="5" t="s">
        <v>28</v>
      </c>
      <c r="S105" s="5" t="s">
        <v>57</v>
      </c>
      <c r="T105" s="5" t="s">
        <v>178</v>
      </c>
      <c r="U105" s="7" t="s">
        <v>113</v>
      </c>
    </row>
    <row r="106" spans="1:21" x14ac:dyDescent="0.25">
      <c r="A106" s="4">
        <v>980991</v>
      </c>
      <c r="B106" s="5" t="s">
        <v>30</v>
      </c>
      <c r="C106" s="6">
        <v>42505</v>
      </c>
      <c r="D106" s="5" t="s">
        <v>351</v>
      </c>
      <c r="E106" s="5" t="s">
        <v>191</v>
      </c>
      <c r="F106" s="5" t="s">
        <v>172</v>
      </c>
      <c r="G106" s="5" t="s">
        <v>21</v>
      </c>
      <c r="H106" s="5" t="s">
        <v>191</v>
      </c>
      <c r="I106" s="5" t="s">
        <v>32</v>
      </c>
      <c r="J106" s="5" t="s">
        <v>121</v>
      </c>
      <c r="K106" s="5" t="s">
        <v>32</v>
      </c>
      <c r="L106" s="5" t="s">
        <v>34</v>
      </c>
      <c r="M106" s="5" t="s">
        <v>121</v>
      </c>
      <c r="N106" s="5" t="s">
        <v>38</v>
      </c>
      <c r="O106" s="5">
        <v>7</v>
      </c>
      <c r="P106" s="5">
        <v>180</v>
      </c>
      <c r="Q106" s="5">
        <v>20</v>
      </c>
      <c r="R106" s="5" t="s">
        <v>28</v>
      </c>
      <c r="S106" s="5" t="s">
        <v>29</v>
      </c>
      <c r="T106" s="5" t="s">
        <v>186</v>
      </c>
      <c r="U106" s="7" t="s">
        <v>63</v>
      </c>
    </row>
    <row r="107" spans="1:21" x14ac:dyDescent="0.25">
      <c r="A107" s="4">
        <v>980993</v>
      </c>
      <c r="B107" s="5" t="s">
        <v>107</v>
      </c>
      <c r="C107" s="6">
        <v>42505</v>
      </c>
      <c r="D107" s="5" t="s">
        <v>351</v>
      </c>
      <c r="E107" s="5" t="s">
        <v>190</v>
      </c>
      <c r="F107" s="5" t="s">
        <v>109</v>
      </c>
      <c r="G107" s="5" t="s">
        <v>21</v>
      </c>
      <c r="H107" s="5" t="s">
        <v>190</v>
      </c>
      <c r="I107" s="5" t="s">
        <v>41</v>
      </c>
      <c r="J107" s="5" t="s">
        <v>229</v>
      </c>
      <c r="K107" s="5" t="s">
        <v>229</v>
      </c>
      <c r="L107" s="5" t="s">
        <v>26</v>
      </c>
      <c r="M107" s="5" t="s">
        <v>41</v>
      </c>
      <c r="N107" s="5" t="s">
        <v>27</v>
      </c>
      <c r="O107" s="5">
        <v>80</v>
      </c>
      <c r="P107" s="5">
        <v>207</v>
      </c>
      <c r="Q107" s="5">
        <v>20</v>
      </c>
      <c r="R107" s="5" t="s">
        <v>28</v>
      </c>
      <c r="S107" s="5" t="s">
        <v>29</v>
      </c>
      <c r="T107" s="5" t="s">
        <v>174</v>
      </c>
      <c r="U107" s="7" t="s">
        <v>126</v>
      </c>
    </row>
    <row r="108" spans="1:21" x14ac:dyDescent="0.25">
      <c r="A108" s="4">
        <v>980995</v>
      </c>
      <c r="B108" s="5" t="s">
        <v>42</v>
      </c>
      <c r="C108" s="6">
        <v>42506</v>
      </c>
      <c r="D108" s="5" t="s">
        <v>351</v>
      </c>
      <c r="E108" s="5" t="s">
        <v>92</v>
      </c>
      <c r="F108" s="5" t="s">
        <v>43</v>
      </c>
      <c r="G108" s="5" t="s">
        <v>21</v>
      </c>
      <c r="H108" s="5" t="s">
        <v>92</v>
      </c>
      <c r="I108" s="5" t="s">
        <v>25</v>
      </c>
      <c r="J108" s="5" t="s">
        <v>24</v>
      </c>
      <c r="K108" s="5" t="s">
        <v>24</v>
      </c>
      <c r="L108" s="5" t="s">
        <v>26</v>
      </c>
      <c r="M108" s="5" t="s">
        <v>24</v>
      </c>
      <c r="N108" s="5" t="s">
        <v>38</v>
      </c>
      <c r="O108" s="5">
        <v>9</v>
      </c>
      <c r="P108" s="5">
        <v>184</v>
      </c>
      <c r="Q108" s="5">
        <v>20</v>
      </c>
      <c r="R108" s="5" t="s">
        <v>28</v>
      </c>
      <c r="S108" s="5" t="s">
        <v>29</v>
      </c>
      <c r="T108" s="5" t="s">
        <v>155</v>
      </c>
      <c r="U108" s="7" t="s">
        <v>178</v>
      </c>
    </row>
    <row r="109" spans="1:21" x14ac:dyDescent="0.25">
      <c r="A109" s="4">
        <v>980997</v>
      </c>
      <c r="B109" s="5" t="s">
        <v>107</v>
      </c>
      <c r="C109" s="6">
        <v>42507</v>
      </c>
      <c r="D109" s="5" t="s">
        <v>351</v>
      </c>
      <c r="E109" s="5" t="s">
        <v>182</v>
      </c>
      <c r="F109" s="5" t="s">
        <v>109</v>
      </c>
      <c r="G109" s="5" t="s">
        <v>21</v>
      </c>
      <c r="H109" s="5" t="s">
        <v>182</v>
      </c>
      <c r="I109" s="5" t="s">
        <v>171</v>
      </c>
      <c r="J109" s="5" t="s">
        <v>229</v>
      </c>
      <c r="K109" s="5" t="s">
        <v>171</v>
      </c>
      <c r="L109" s="5" t="s">
        <v>26</v>
      </c>
      <c r="M109" s="5" t="s">
        <v>171</v>
      </c>
      <c r="N109" s="5" t="s">
        <v>27</v>
      </c>
      <c r="O109" s="5">
        <v>19</v>
      </c>
      <c r="P109" s="5">
        <v>58</v>
      </c>
      <c r="Q109" s="5">
        <v>11</v>
      </c>
      <c r="R109" s="5" t="s">
        <v>28</v>
      </c>
      <c r="S109" s="5" t="s">
        <v>57</v>
      </c>
      <c r="T109" s="5" t="s">
        <v>174</v>
      </c>
      <c r="U109" s="7" t="s">
        <v>118</v>
      </c>
    </row>
    <row r="110" spans="1:21" x14ac:dyDescent="0.25">
      <c r="A110" s="4">
        <v>980999</v>
      </c>
      <c r="B110" s="5" t="s">
        <v>20</v>
      </c>
      <c r="C110" s="6">
        <v>42508</v>
      </c>
      <c r="D110" s="5" t="s">
        <v>351</v>
      </c>
      <c r="E110" s="5" t="s">
        <v>92</v>
      </c>
      <c r="F110" s="5" t="s">
        <v>23</v>
      </c>
      <c r="G110" s="5" t="s">
        <v>21</v>
      </c>
      <c r="H110" s="5" t="s">
        <v>92</v>
      </c>
      <c r="I110" s="5" t="s">
        <v>24</v>
      </c>
      <c r="J110" s="5" t="s">
        <v>32</v>
      </c>
      <c r="K110" s="5" t="s">
        <v>32</v>
      </c>
      <c r="L110" s="5" t="s">
        <v>26</v>
      </c>
      <c r="M110" s="5" t="s">
        <v>24</v>
      </c>
      <c r="N110" s="5" t="s">
        <v>27</v>
      </c>
      <c r="O110" s="5">
        <v>82</v>
      </c>
      <c r="P110" s="5">
        <v>203</v>
      </c>
      <c r="Q110" s="5">
        <v>14</v>
      </c>
      <c r="R110" s="5" t="s">
        <v>28</v>
      </c>
      <c r="S110" s="5" t="s">
        <v>57</v>
      </c>
      <c r="T110" s="5" t="s">
        <v>186</v>
      </c>
      <c r="U110" s="7" t="s">
        <v>63</v>
      </c>
    </row>
    <row r="111" spans="1:21" x14ac:dyDescent="0.25">
      <c r="A111" s="4">
        <v>981001</v>
      </c>
      <c r="B111" s="5" t="s">
        <v>192</v>
      </c>
      <c r="C111" s="6">
        <v>42509</v>
      </c>
      <c r="D111" s="5" t="s">
        <v>351</v>
      </c>
      <c r="E111" s="5" t="s">
        <v>73</v>
      </c>
      <c r="F111" s="5" t="s">
        <v>193</v>
      </c>
      <c r="G111" s="5" t="s">
        <v>21</v>
      </c>
      <c r="H111" s="5" t="s">
        <v>73</v>
      </c>
      <c r="I111" s="5" t="s">
        <v>277</v>
      </c>
      <c r="J111" s="5" t="s">
        <v>25</v>
      </c>
      <c r="K111" s="5" t="s">
        <v>277</v>
      </c>
      <c r="L111" s="5" t="s">
        <v>26</v>
      </c>
      <c r="M111" s="5" t="s">
        <v>277</v>
      </c>
      <c r="N111" s="5" t="s">
        <v>38</v>
      </c>
      <c r="O111" s="5">
        <v>6</v>
      </c>
      <c r="P111" s="5">
        <v>125</v>
      </c>
      <c r="Q111" s="5">
        <v>20</v>
      </c>
      <c r="R111" s="5" t="s">
        <v>28</v>
      </c>
      <c r="S111" s="5" t="s">
        <v>29</v>
      </c>
      <c r="T111" s="5" t="s">
        <v>105</v>
      </c>
      <c r="U111" s="7" t="s">
        <v>126</v>
      </c>
    </row>
    <row r="112" spans="1:21" x14ac:dyDescent="0.25">
      <c r="A112" s="4">
        <v>981003</v>
      </c>
      <c r="B112" s="5" t="s">
        <v>129</v>
      </c>
      <c r="C112" s="6">
        <v>42510</v>
      </c>
      <c r="D112" s="5" t="s">
        <v>351</v>
      </c>
      <c r="E112" s="5" t="s">
        <v>149</v>
      </c>
      <c r="F112" s="5" t="s">
        <v>130</v>
      </c>
      <c r="G112" s="5" t="s">
        <v>21</v>
      </c>
      <c r="H112" s="5" t="s">
        <v>149</v>
      </c>
      <c r="I112" s="5" t="s">
        <v>229</v>
      </c>
      <c r="J112" s="5" t="s">
        <v>121</v>
      </c>
      <c r="K112" s="5" t="s">
        <v>229</v>
      </c>
      <c r="L112" s="5" t="s">
        <v>26</v>
      </c>
      <c r="M112" s="5" t="s">
        <v>229</v>
      </c>
      <c r="N112" s="5" t="s">
        <v>38</v>
      </c>
      <c r="O112" s="5">
        <v>6</v>
      </c>
      <c r="P112" s="5">
        <v>159</v>
      </c>
      <c r="Q112" s="5">
        <v>20</v>
      </c>
      <c r="R112" s="5" t="s">
        <v>28</v>
      </c>
      <c r="S112" s="5" t="s">
        <v>29</v>
      </c>
      <c r="T112" s="5" t="s">
        <v>178</v>
      </c>
      <c r="U112" s="7" t="s">
        <v>113</v>
      </c>
    </row>
    <row r="113" spans="1:21" x14ac:dyDescent="0.25">
      <c r="A113" s="4">
        <v>981005</v>
      </c>
      <c r="B113" s="5" t="s">
        <v>107</v>
      </c>
      <c r="C113" s="6">
        <v>42511</v>
      </c>
      <c r="D113" s="5" t="s">
        <v>351</v>
      </c>
      <c r="E113" s="5" t="s">
        <v>52</v>
      </c>
      <c r="F113" s="5" t="s">
        <v>109</v>
      </c>
      <c r="G113" s="5" t="s">
        <v>21</v>
      </c>
      <c r="H113" s="5" t="s">
        <v>52</v>
      </c>
      <c r="I113" s="5" t="s">
        <v>171</v>
      </c>
      <c r="J113" s="5" t="s">
        <v>32</v>
      </c>
      <c r="K113" s="5" t="s">
        <v>32</v>
      </c>
      <c r="L113" s="5" t="s">
        <v>34</v>
      </c>
      <c r="M113" s="5" t="s">
        <v>171</v>
      </c>
      <c r="N113" s="5" t="s">
        <v>38</v>
      </c>
      <c r="O113" s="5">
        <v>4</v>
      </c>
      <c r="P113" s="5">
        <v>173</v>
      </c>
      <c r="Q113" s="5">
        <v>20</v>
      </c>
      <c r="R113" s="5" t="s">
        <v>28</v>
      </c>
      <c r="S113" s="5" t="s">
        <v>29</v>
      </c>
      <c r="T113" s="5" t="s">
        <v>67</v>
      </c>
      <c r="U113" s="7" t="s">
        <v>174</v>
      </c>
    </row>
    <row r="114" spans="1:21" x14ac:dyDescent="0.25">
      <c r="A114" s="4">
        <v>981007</v>
      </c>
      <c r="B114" s="5" t="s">
        <v>192</v>
      </c>
      <c r="C114" s="6">
        <v>42511</v>
      </c>
      <c r="D114" s="5" t="s">
        <v>351</v>
      </c>
      <c r="E114" s="5" t="s">
        <v>60</v>
      </c>
      <c r="F114" s="5" t="s">
        <v>193</v>
      </c>
      <c r="G114" s="5" t="s">
        <v>21</v>
      </c>
      <c r="H114" s="5" t="s">
        <v>60</v>
      </c>
      <c r="I114" s="5" t="s">
        <v>277</v>
      </c>
      <c r="J114" s="5" t="s">
        <v>41</v>
      </c>
      <c r="K114" s="5" t="s">
        <v>277</v>
      </c>
      <c r="L114" s="5" t="s">
        <v>26</v>
      </c>
      <c r="M114" s="5" t="s">
        <v>277</v>
      </c>
      <c r="N114" s="5" t="s">
        <v>38</v>
      </c>
      <c r="O114" s="5">
        <v>6</v>
      </c>
      <c r="P114" s="5">
        <v>173</v>
      </c>
      <c r="Q114" s="5">
        <v>20</v>
      </c>
      <c r="R114" s="5" t="s">
        <v>28</v>
      </c>
      <c r="S114" s="5" t="s">
        <v>29</v>
      </c>
      <c r="T114" s="5" t="s">
        <v>105</v>
      </c>
      <c r="U114" s="7" t="s">
        <v>126</v>
      </c>
    </row>
    <row r="115" spans="1:21" x14ac:dyDescent="0.25">
      <c r="A115" s="4">
        <v>981009</v>
      </c>
      <c r="B115" s="5" t="s">
        <v>42</v>
      </c>
      <c r="C115" s="6">
        <v>42512</v>
      </c>
      <c r="D115" s="5" t="s">
        <v>351</v>
      </c>
      <c r="E115" s="5" t="s">
        <v>51</v>
      </c>
      <c r="F115" s="5" t="s">
        <v>43</v>
      </c>
      <c r="G115" s="5" t="s">
        <v>21</v>
      </c>
      <c r="H115" s="5" t="s">
        <v>51</v>
      </c>
      <c r="I115" s="5" t="s">
        <v>25</v>
      </c>
      <c r="J115" s="5" t="s">
        <v>121</v>
      </c>
      <c r="K115" s="5" t="s">
        <v>121</v>
      </c>
      <c r="L115" s="5" t="s">
        <v>26</v>
      </c>
      <c r="M115" s="5" t="s">
        <v>25</v>
      </c>
      <c r="N115" s="5" t="s">
        <v>27</v>
      </c>
      <c r="O115" s="5">
        <v>22</v>
      </c>
      <c r="P115" s="5">
        <v>172</v>
      </c>
      <c r="Q115" s="5">
        <v>20</v>
      </c>
      <c r="R115" s="5" t="s">
        <v>28</v>
      </c>
      <c r="S115" s="5" t="s">
        <v>29</v>
      </c>
      <c r="T115" s="5" t="s">
        <v>186</v>
      </c>
      <c r="U115" s="7" t="s">
        <v>63</v>
      </c>
    </row>
    <row r="116" spans="1:21" x14ac:dyDescent="0.25">
      <c r="A116" s="4">
        <v>981011</v>
      </c>
      <c r="B116" s="5" t="s">
        <v>129</v>
      </c>
      <c r="C116" s="6">
        <v>42512</v>
      </c>
      <c r="D116" s="5" t="s">
        <v>351</v>
      </c>
      <c r="E116" s="5" t="s">
        <v>92</v>
      </c>
      <c r="F116" s="5" t="s">
        <v>130</v>
      </c>
      <c r="G116" s="5" t="s">
        <v>21</v>
      </c>
      <c r="H116" s="5" t="s">
        <v>92</v>
      </c>
      <c r="I116" s="5" t="s">
        <v>229</v>
      </c>
      <c r="J116" s="5" t="s">
        <v>24</v>
      </c>
      <c r="K116" s="5" t="s">
        <v>24</v>
      </c>
      <c r="L116" s="5" t="s">
        <v>26</v>
      </c>
      <c r="M116" s="5" t="s">
        <v>24</v>
      </c>
      <c r="N116" s="5" t="s">
        <v>38</v>
      </c>
      <c r="O116" s="5">
        <v>6</v>
      </c>
      <c r="P116" s="5">
        <v>139</v>
      </c>
      <c r="Q116" s="5">
        <v>20</v>
      </c>
      <c r="R116" s="5" t="s">
        <v>28</v>
      </c>
      <c r="S116" s="5" t="s">
        <v>29</v>
      </c>
      <c r="T116" s="5" t="s">
        <v>178</v>
      </c>
      <c r="U116" s="7" t="s">
        <v>113</v>
      </c>
    </row>
    <row r="117" spans="1:21" x14ac:dyDescent="0.25">
      <c r="A117" s="4">
        <v>981013</v>
      </c>
      <c r="B117" s="5" t="s">
        <v>20</v>
      </c>
      <c r="C117" s="6">
        <v>42514</v>
      </c>
      <c r="D117" s="5" t="s">
        <v>351</v>
      </c>
      <c r="E117" s="5" t="s">
        <v>64</v>
      </c>
      <c r="F117" s="5" t="s">
        <v>23</v>
      </c>
      <c r="G117" s="5" t="s">
        <v>100</v>
      </c>
      <c r="H117" s="5" t="s">
        <v>64</v>
      </c>
      <c r="I117" s="5" t="s">
        <v>277</v>
      </c>
      <c r="J117" s="5" t="s">
        <v>24</v>
      </c>
      <c r="K117" s="5" t="s">
        <v>24</v>
      </c>
      <c r="L117" s="5" t="s">
        <v>26</v>
      </c>
      <c r="M117" s="5" t="s">
        <v>24</v>
      </c>
      <c r="N117" s="5" t="s">
        <v>38</v>
      </c>
      <c r="O117" s="5">
        <v>4</v>
      </c>
      <c r="P117" s="5">
        <v>159</v>
      </c>
      <c r="Q117" s="5">
        <v>20</v>
      </c>
      <c r="R117" s="5" t="s">
        <v>28</v>
      </c>
      <c r="S117" s="5" t="s">
        <v>29</v>
      </c>
      <c r="T117" s="5" t="s">
        <v>105</v>
      </c>
      <c r="U117" s="7" t="s">
        <v>67</v>
      </c>
    </row>
    <row r="118" spans="1:21" x14ac:dyDescent="0.25">
      <c r="A118" s="4">
        <v>981015</v>
      </c>
      <c r="B118" s="5" t="s">
        <v>35</v>
      </c>
      <c r="C118" s="6">
        <v>42515</v>
      </c>
      <c r="D118" s="5" t="s">
        <v>351</v>
      </c>
      <c r="E118" s="5" t="s">
        <v>168</v>
      </c>
      <c r="F118" s="5" t="s">
        <v>36</v>
      </c>
      <c r="G118" s="5" t="s">
        <v>101</v>
      </c>
      <c r="H118" s="5" t="s">
        <v>168</v>
      </c>
      <c r="I118" s="5" t="s">
        <v>121</v>
      </c>
      <c r="J118" s="5" t="s">
        <v>25</v>
      </c>
      <c r="K118" s="5" t="s">
        <v>25</v>
      </c>
      <c r="L118" s="5" t="s">
        <v>26</v>
      </c>
      <c r="M118" s="5" t="s">
        <v>121</v>
      </c>
      <c r="N118" s="5" t="s">
        <v>27</v>
      </c>
      <c r="O118" s="5">
        <v>22</v>
      </c>
      <c r="P118" s="5">
        <v>163</v>
      </c>
      <c r="Q118" s="5">
        <v>20</v>
      </c>
      <c r="R118" s="5" t="s">
        <v>28</v>
      </c>
      <c r="S118" s="5" t="s">
        <v>29</v>
      </c>
      <c r="T118" s="5" t="s">
        <v>63</v>
      </c>
      <c r="U118" s="7" t="s">
        <v>118</v>
      </c>
    </row>
    <row r="119" spans="1:21" x14ac:dyDescent="0.25">
      <c r="A119" s="4">
        <v>981017</v>
      </c>
      <c r="B119" s="5" t="s">
        <v>35</v>
      </c>
      <c r="C119" s="6">
        <v>42517</v>
      </c>
      <c r="D119" s="5" t="s">
        <v>351</v>
      </c>
      <c r="E119" s="5" t="s">
        <v>82</v>
      </c>
      <c r="F119" s="5" t="s">
        <v>36</v>
      </c>
      <c r="G119" s="5" t="s">
        <v>102</v>
      </c>
      <c r="H119" s="5" t="s">
        <v>82</v>
      </c>
      <c r="I119" s="5" t="s">
        <v>277</v>
      </c>
      <c r="J119" s="5" t="s">
        <v>121</v>
      </c>
      <c r="K119" s="5" t="s">
        <v>121</v>
      </c>
      <c r="L119" s="5" t="s">
        <v>26</v>
      </c>
      <c r="M119" s="5" t="s">
        <v>121</v>
      </c>
      <c r="N119" s="5" t="s">
        <v>38</v>
      </c>
      <c r="O119" s="5">
        <v>4</v>
      </c>
      <c r="P119" s="5">
        <v>163</v>
      </c>
      <c r="Q119" s="5">
        <v>20</v>
      </c>
      <c r="R119" s="5" t="s">
        <v>28</v>
      </c>
      <c r="S119" s="5" t="s">
        <v>29</v>
      </c>
      <c r="T119" s="5" t="s">
        <v>63</v>
      </c>
      <c r="U119" s="7" t="s">
        <v>126</v>
      </c>
    </row>
    <row r="120" spans="1:21" x14ac:dyDescent="0.25">
      <c r="A120" s="4">
        <v>981019</v>
      </c>
      <c r="B120" s="5" t="s">
        <v>20</v>
      </c>
      <c r="C120" s="6">
        <v>42519</v>
      </c>
      <c r="D120" s="5" t="s">
        <v>351</v>
      </c>
      <c r="E120" s="5" t="s">
        <v>194</v>
      </c>
      <c r="F120" s="5" t="s">
        <v>23</v>
      </c>
      <c r="G120" s="5" t="s">
        <v>61</v>
      </c>
      <c r="H120" s="5" t="s">
        <v>194</v>
      </c>
      <c r="I120" s="5" t="s">
        <v>24</v>
      </c>
      <c r="J120" s="5" t="s">
        <v>121</v>
      </c>
      <c r="K120" s="5" t="s">
        <v>121</v>
      </c>
      <c r="L120" s="5" t="s">
        <v>34</v>
      </c>
      <c r="M120" s="5" t="s">
        <v>121</v>
      </c>
      <c r="N120" s="5" t="s">
        <v>27</v>
      </c>
      <c r="O120" s="5">
        <v>8</v>
      </c>
      <c r="P120" s="5">
        <v>209</v>
      </c>
      <c r="Q120" s="5">
        <v>20</v>
      </c>
      <c r="R120" s="5" t="s">
        <v>28</v>
      </c>
      <c r="S120" s="5" t="s">
        <v>29</v>
      </c>
      <c r="T120" s="5" t="s">
        <v>67</v>
      </c>
      <c r="U120" s="7" t="s">
        <v>113</v>
      </c>
    </row>
    <row r="121" spans="1:21" x14ac:dyDescent="0.25">
      <c r="A121" s="4">
        <v>1082591</v>
      </c>
      <c r="B121" s="5" t="s">
        <v>47</v>
      </c>
      <c r="C121" s="6">
        <v>42830</v>
      </c>
      <c r="D121" s="5" t="s">
        <v>352</v>
      </c>
      <c r="E121" s="5" t="s">
        <v>69</v>
      </c>
      <c r="F121" s="5" t="s">
        <v>48</v>
      </c>
      <c r="G121" s="5" t="s">
        <v>21</v>
      </c>
      <c r="H121" s="5" t="s">
        <v>69</v>
      </c>
      <c r="I121" s="5" t="s">
        <v>121</v>
      </c>
      <c r="J121" s="5" t="s">
        <v>24</v>
      </c>
      <c r="K121" s="5" t="s">
        <v>24</v>
      </c>
      <c r="L121" s="5" t="s">
        <v>26</v>
      </c>
      <c r="M121" s="5" t="s">
        <v>121</v>
      </c>
      <c r="N121" s="5" t="s">
        <v>27</v>
      </c>
      <c r="O121" s="5">
        <v>35</v>
      </c>
      <c r="P121" s="5">
        <v>208</v>
      </c>
      <c r="Q121" s="5">
        <v>20</v>
      </c>
      <c r="R121" s="5" t="s">
        <v>28</v>
      </c>
      <c r="S121" s="5" t="s">
        <v>29</v>
      </c>
      <c r="T121" s="5" t="s">
        <v>183</v>
      </c>
      <c r="U121" s="7" t="s">
        <v>132</v>
      </c>
    </row>
    <row r="122" spans="1:21" x14ac:dyDescent="0.25">
      <c r="A122" s="4">
        <v>1082592</v>
      </c>
      <c r="B122" s="5" t="s">
        <v>111</v>
      </c>
      <c r="C122" s="6">
        <v>42831</v>
      </c>
      <c r="D122" s="5" t="s">
        <v>352</v>
      </c>
      <c r="E122" s="5" t="s">
        <v>104</v>
      </c>
      <c r="F122" s="5" t="s">
        <v>127</v>
      </c>
      <c r="G122" s="5" t="s">
        <v>21</v>
      </c>
      <c r="H122" s="5" t="s">
        <v>104</v>
      </c>
      <c r="I122" s="5" t="s">
        <v>171</v>
      </c>
      <c r="J122" s="5" t="s">
        <v>41</v>
      </c>
      <c r="K122" s="5" t="s">
        <v>171</v>
      </c>
      <c r="L122" s="5" t="s">
        <v>26</v>
      </c>
      <c r="M122" s="5" t="s">
        <v>171</v>
      </c>
      <c r="N122" s="5" t="s">
        <v>38</v>
      </c>
      <c r="O122" s="5">
        <v>7</v>
      </c>
      <c r="P122" s="5">
        <v>185</v>
      </c>
      <c r="Q122" s="5">
        <v>20</v>
      </c>
      <c r="R122" s="5" t="s">
        <v>28</v>
      </c>
      <c r="S122" s="5" t="s">
        <v>29</v>
      </c>
      <c r="T122" s="5" t="s">
        <v>178</v>
      </c>
      <c r="U122" s="7" t="s">
        <v>70</v>
      </c>
    </row>
    <row r="123" spans="1:21" x14ac:dyDescent="0.25">
      <c r="A123" s="4">
        <v>1082593</v>
      </c>
      <c r="B123" s="5" t="s">
        <v>175</v>
      </c>
      <c r="C123" s="6">
        <v>42832</v>
      </c>
      <c r="D123" s="5" t="s">
        <v>352</v>
      </c>
      <c r="E123" s="5" t="s">
        <v>144</v>
      </c>
      <c r="F123" s="5" t="s">
        <v>176</v>
      </c>
      <c r="G123" s="5" t="s">
        <v>21</v>
      </c>
      <c r="H123" s="5" t="s">
        <v>144</v>
      </c>
      <c r="I123" s="5" t="s">
        <v>277</v>
      </c>
      <c r="J123" s="5" t="s">
        <v>25</v>
      </c>
      <c r="K123" s="5" t="s">
        <v>25</v>
      </c>
      <c r="L123" s="5" t="s">
        <v>26</v>
      </c>
      <c r="M123" s="5" t="s">
        <v>25</v>
      </c>
      <c r="N123" s="5" t="s">
        <v>38</v>
      </c>
      <c r="O123" s="5">
        <v>10</v>
      </c>
      <c r="P123" s="5">
        <v>184</v>
      </c>
      <c r="Q123" s="5">
        <v>20</v>
      </c>
      <c r="R123" s="5" t="s">
        <v>28</v>
      </c>
      <c r="S123" s="5" t="s">
        <v>29</v>
      </c>
      <c r="T123" s="5" t="s">
        <v>174</v>
      </c>
      <c r="U123" s="7" t="s">
        <v>126</v>
      </c>
    </row>
    <row r="124" spans="1:21" x14ac:dyDescent="0.25">
      <c r="A124" s="4">
        <v>1082594</v>
      </c>
      <c r="B124" s="5" t="s">
        <v>95</v>
      </c>
      <c r="C124" s="6">
        <v>42833</v>
      </c>
      <c r="D124" s="5" t="s">
        <v>352</v>
      </c>
      <c r="E124" s="5" t="s">
        <v>142</v>
      </c>
      <c r="F124" s="5" t="s">
        <v>96</v>
      </c>
      <c r="G124" s="5" t="s">
        <v>21</v>
      </c>
      <c r="H124" s="5" t="s">
        <v>142</v>
      </c>
      <c r="I124" s="5" t="s">
        <v>32</v>
      </c>
      <c r="J124" s="5" t="s">
        <v>171</v>
      </c>
      <c r="K124" s="5" t="s">
        <v>32</v>
      </c>
      <c r="L124" s="5" t="s">
        <v>26</v>
      </c>
      <c r="M124" s="5" t="s">
        <v>32</v>
      </c>
      <c r="N124" s="5" t="s">
        <v>38</v>
      </c>
      <c r="O124" s="5">
        <v>6</v>
      </c>
      <c r="P124" s="5">
        <v>164</v>
      </c>
      <c r="Q124" s="5">
        <v>20</v>
      </c>
      <c r="R124" s="5" t="s">
        <v>28</v>
      </c>
      <c r="S124" s="5" t="s">
        <v>29</v>
      </c>
      <c r="T124" s="5" t="s">
        <v>105</v>
      </c>
      <c r="U124" s="7" t="s">
        <v>118</v>
      </c>
    </row>
    <row r="125" spans="1:21" x14ac:dyDescent="0.25">
      <c r="A125" s="4">
        <v>1082595</v>
      </c>
      <c r="B125" s="5" t="s">
        <v>195</v>
      </c>
      <c r="C125" s="6">
        <v>42833</v>
      </c>
      <c r="D125" s="5" t="s">
        <v>352</v>
      </c>
      <c r="E125" s="5" t="s">
        <v>81</v>
      </c>
      <c r="F125" s="5" t="s">
        <v>196</v>
      </c>
      <c r="G125" s="5" t="s">
        <v>21</v>
      </c>
      <c r="H125" s="5" t="s">
        <v>81</v>
      </c>
      <c r="I125" s="5" t="s">
        <v>24</v>
      </c>
      <c r="J125" s="5" t="s">
        <v>229</v>
      </c>
      <c r="K125" s="5" t="s">
        <v>24</v>
      </c>
      <c r="L125" s="5" t="s">
        <v>34</v>
      </c>
      <c r="M125" s="5" t="s">
        <v>24</v>
      </c>
      <c r="N125" s="5" t="s">
        <v>27</v>
      </c>
      <c r="O125" s="5">
        <v>15</v>
      </c>
      <c r="P125" s="5">
        <v>158</v>
      </c>
      <c r="Q125" s="5">
        <v>20</v>
      </c>
      <c r="R125" s="5" t="s">
        <v>28</v>
      </c>
      <c r="S125" s="5" t="s">
        <v>29</v>
      </c>
      <c r="T125" s="5" t="s">
        <v>70</v>
      </c>
      <c r="U125" s="7" t="s">
        <v>173</v>
      </c>
    </row>
    <row r="126" spans="1:21" x14ac:dyDescent="0.25">
      <c r="A126" s="4">
        <v>1082596</v>
      </c>
      <c r="B126" s="5" t="s">
        <v>47</v>
      </c>
      <c r="C126" s="6">
        <v>42834</v>
      </c>
      <c r="D126" s="5" t="s">
        <v>352</v>
      </c>
      <c r="E126" s="5" t="s">
        <v>197</v>
      </c>
      <c r="F126" s="5" t="s">
        <v>48</v>
      </c>
      <c r="G126" s="5" t="s">
        <v>21</v>
      </c>
      <c r="H126" s="5" t="s">
        <v>197</v>
      </c>
      <c r="I126" s="5" t="s">
        <v>121</v>
      </c>
      <c r="J126" s="5" t="s">
        <v>277</v>
      </c>
      <c r="K126" s="5" t="s">
        <v>121</v>
      </c>
      <c r="L126" s="5" t="s">
        <v>26</v>
      </c>
      <c r="M126" s="5" t="s">
        <v>121</v>
      </c>
      <c r="N126" s="5" t="s">
        <v>38</v>
      </c>
      <c r="O126" s="5">
        <v>9</v>
      </c>
      <c r="P126" s="5">
        <v>136</v>
      </c>
      <c r="Q126" s="5">
        <v>20</v>
      </c>
      <c r="R126" s="5" t="s">
        <v>28</v>
      </c>
      <c r="S126" s="5" t="s">
        <v>29</v>
      </c>
      <c r="T126" s="5" t="s">
        <v>198</v>
      </c>
      <c r="U126" s="7" t="s">
        <v>132</v>
      </c>
    </row>
    <row r="127" spans="1:21" x14ac:dyDescent="0.25">
      <c r="A127" s="4">
        <v>1082597</v>
      </c>
      <c r="B127" s="5" t="s">
        <v>39</v>
      </c>
      <c r="C127" s="6">
        <v>42834</v>
      </c>
      <c r="D127" s="5" t="s">
        <v>352</v>
      </c>
      <c r="E127" s="5" t="s">
        <v>199</v>
      </c>
      <c r="F127" s="5" t="s">
        <v>40</v>
      </c>
      <c r="G127" s="5" t="s">
        <v>21</v>
      </c>
      <c r="H127" s="5" t="s">
        <v>199</v>
      </c>
      <c r="I127" s="5" t="s">
        <v>41</v>
      </c>
      <c r="J127" s="5" t="s">
        <v>25</v>
      </c>
      <c r="K127" s="5" t="s">
        <v>41</v>
      </c>
      <c r="L127" s="5" t="s">
        <v>26</v>
      </c>
      <c r="M127" s="5" t="s">
        <v>41</v>
      </c>
      <c r="N127" s="5" t="s">
        <v>38</v>
      </c>
      <c r="O127" s="5">
        <v>4</v>
      </c>
      <c r="P127" s="5">
        <v>179</v>
      </c>
      <c r="Q127" s="5">
        <v>20</v>
      </c>
      <c r="R127" s="5" t="s">
        <v>28</v>
      </c>
      <c r="S127" s="5" t="s">
        <v>29</v>
      </c>
      <c r="T127" s="5" t="s">
        <v>174</v>
      </c>
      <c r="U127" s="7" t="s">
        <v>126</v>
      </c>
    </row>
    <row r="128" spans="1:21" x14ac:dyDescent="0.25">
      <c r="A128" s="4">
        <v>1082598</v>
      </c>
      <c r="B128" s="5" t="s">
        <v>95</v>
      </c>
      <c r="C128" s="6">
        <v>42835</v>
      </c>
      <c r="D128" s="5" t="s">
        <v>352</v>
      </c>
      <c r="E128" s="5" t="s">
        <v>152</v>
      </c>
      <c r="F128" s="5" t="s">
        <v>96</v>
      </c>
      <c r="G128" s="5" t="s">
        <v>21</v>
      </c>
      <c r="H128" s="5" t="s">
        <v>152</v>
      </c>
      <c r="I128" s="5" t="s">
        <v>32</v>
      </c>
      <c r="J128" s="5" t="s">
        <v>24</v>
      </c>
      <c r="K128" s="5" t="s">
        <v>24</v>
      </c>
      <c r="L128" s="5" t="s">
        <v>34</v>
      </c>
      <c r="M128" s="5" t="s">
        <v>32</v>
      </c>
      <c r="N128" s="5" t="s">
        <v>38</v>
      </c>
      <c r="O128" s="5">
        <v>8</v>
      </c>
      <c r="P128" s="5">
        <v>149</v>
      </c>
      <c r="Q128" s="5">
        <v>20</v>
      </c>
      <c r="R128" s="5" t="s">
        <v>28</v>
      </c>
      <c r="S128" s="5" t="s">
        <v>29</v>
      </c>
      <c r="T128" s="5" t="s">
        <v>105</v>
      </c>
      <c r="U128" s="7" t="s">
        <v>118</v>
      </c>
    </row>
    <row r="129" spans="1:21" x14ac:dyDescent="0.25">
      <c r="A129" s="4">
        <v>1082599</v>
      </c>
      <c r="B129" s="5" t="s">
        <v>111</v>
      </c>
      <c r="C129" s="6">
        <v>42836</v>
      </c>
      <c r="D129" s="5" t="s">
        <v>352</v>
      </c>
      <c r="E129" s="5" t="s">
        <v>131</v>
      </c>
      <c r="F129" s="5" t="s">
        <v>127</v>
      </c>
      <c r="G129" s="5" t="s">
        <v>21</v>
      </c>
      <c r="H129" s="5" t="s">
        <v>131</v>
      </c>
      <c r="I129" s="5" t="s">
        <v>171</v>
      </c>
      <c r="J129" s="5" t="s">
        <v>229</v>
      </c>
      <c r="K129" s="5" t="s">
        <v>171</v>
      </c>
      <c r="L129" s="5" t="s">
        <v>26</v>
      </c>
      <c r="M129" s="5" t="s">
        <v>229</v>
      </c>
      <c r="N129" s="5" t="s">
        <v>27</v>
      </c>
      <c r="O129" s="5">
        <v>97</v>
      </c>
      <c r="P129" s="5">
        <v>206</v>
      </c>
      <c r="Q129" s="5">
        <v>20</v>
      </c>
      <c r="R129" s="5" t="s">
        <v>28</v>
      </c>
      <c r="S129" s="5" t="s">
        <v>29</v>
      </c>
      <c r="T129" s="5" t="s">
        <v>183</v>
      </c>
      <c r="U129" s="7" t="s">
        <v>70</v>
      </c>
    </row>
    <row r="130" spans="1:21" x14ac:dyDescent="0.25">
      <c r="A130" s="4">
        <v>1082600</v>
      </c>
      <c r="B130" s="5" t="s">
        <v>39</v>
      </c>
      <c r="C130" s="6">
        <v>42837</v>
      </c>
      <c r="D130" s="5" t="s">
        <v>352</v>
      </c>
      <c r="E130" s="5" t="s">
        <v>200</v>
      </c>
      <c r="F130" s="5" t="s">
        <v>40</v>
      </c>
      <c r="G130" s="5" t="s">
        <v>21</v>
      </c>
      <c r="H130" s="5" t="s">
        <v>200</v>
      </c>
      <c r="I130" s="5" t="s">
        <v>41</v>
      </c>
      <c r="J130" s="5" t="s">
        <v>121</v>
      </c>
      <c r="K130" s="5" t="s">
        <v>41</v>
      </c>
      <c r="L130" s="5" t="s">
        <v>26</v>
      </c>
      <c r="M130" s="5" t="s">
        <v>41</v>
      </c>
      <c r="N130" s="5" t="s">
        <v>38</v>
      </c>
      <c r="O130" s="5">
        <v>4</v>
      </c>
      <c r="P130" s="5">
        <v>159</v>
      </c>
      <c r="Q130" s="5">
        <v>20</v>
      </c>
      <c r="R130" s="5" t="s">
        <v>28</v>
      </c>
      <c r="S130" s="5" t="s">
        <v>29</v>
      </c>
      <c r="T130" s="5" t="s">
        <v>174</v>
      </c>
      <c r="U130" s="7" t="s">
        <v>126</v>
      </c>
    </row>
    <row r="131" spans="1:21" x14ac:dyDescent="0.25">
      <c r="A131" s="4">
        <v>1082601</v>
      </c>
      <c r="B131" s="5" t="s">
        <v>42</v>
      </c>
      <c r="C131" s="6">
        <v>42838</v>
      </c>
      <c r="D131" s="5" t="s">
        <v>352</v>
      </c>
      <c r="E131" s="5" t="s">
        <v>115</v>
      </c>
      <c r="F131" s="5" t="s">
        <v>43</v>
      </c>
      <c r="G131" s="5" t="s">
        <v>21</v>
      </c>
      <c r="H131" s="5" t="s">
        <v>115</v>
      </c>
      <c r="I131" s="5" t="s">
        <v>25</v>
      </c>
      <c r="J131" s="5" t="s">
        <v>32</v>
      </c>
      <c r="K131" s="5" t="s">
        <v>25</v>
      </c>
      <c r="L131" s="5" t="s">
        <v>26</v>
      </c>
      <c r="M131" s="5" t="s">
        <v>25</v>
      </c>
      <c r="N131" s="5" t="s">
        <v>38</v>
      </c>
      <c r="O131" s="5">
        <v>8</v>
      </c>
      <c r="P131" s="5">
        <v>171</v>
      </c>
      <c r="Q131" s="5">
        <v>20</v>
      </c>
      <c r="R131" s="5" t="s">
        <v>28</v>
      </c>
      <c r="S131" s="5" t="s">
        <v>29</v>
      </c>
      <c r="T131" s="5" t="s">
        <v>198</v>
      </c>
      <c r="U131" s="7" t="s">
        <v>132</v>
      </c>
    </row>
    <row r="132" spans="1:21" x14ac:dyDescent="0.25">
      <c r="A132" s="4">
        <v>1082602</v>
      </c>
      <c r="B132" s="5" t="s">
        <v>20</v>
      </c>
      <c r="C132" s="6">
        <v>42839</v>
      </c>
      <c r="D132" s="5" t="s">
        <v>352</v>
      </c>
      <c r="E132" s="5" t="s">
        <v>86</v>
      </c>
      <c r="F132" s="5" t="s">
        <v>23</v>
      </c>
      <c r="G132" s="5" t="s">
        <v>21</v>
      </c>
      <c r="H132" s="5" t="s">
        <v>86</v>
      </c>
      <c r="I132" s="5" t="s">
        <v>24</v>
      </c>
      <c r="J132" s="5" t="s">
        <v>41</v>
      </c>
      <c r="K132" s="5" t="s">
        <v>41</v>
      </c>
      <c r="L132" s="5" t="s">
        <v>26</v>
      </c>
      <c r="M132" s="5" t="s">
        <v>41</v>
      </c>
      <c r="N132" s="5" t="s">
        <v>38</v>
      </c>
      <c r="O132" s="5">
        <v>4</v>
      </c>
      <c r="P132" s="5">
        <v>143</v>
      </c>
      <c r="Q132" s="5">
        <v>20</v>
      </c>
      <c r="R132" s="5" t="s">
        <v>28</v>
      </c>
      <c r="S132" s="5" t="s">
        <v>29</v>
      </c>
      <c r="T132" s="5" t="s">
        <v>186</v>
      </c>
      <c r="U132" s="7" t="s">
        <v>105</v>
      </c>
    </row>
    <row r="133" spans="1:21" x14ac:dyDescent="0.25">
      <c r="A133" s="4">
        <v>1082603</v>
      </c>
      <c r="B133" s="5" t="s">
        <v>175</v>
      </c>
      <c r="C133" s="6">
        <v>42839</v>
      </c>
      <c r="D133" s="5" t="s">
        <v>352</v>
      </c>
      <c r="E133" s="5" t="s">
        <v>201</v>
      </c>
      <c r="F133" s="5" t="s">
        <v>176</v>
      </c>
      <c r="G133" s="5" t="s">
        <v>21</v>
      </c>
      <c r="H133" s="5" t="s">
        <v>201</v>
      </c>
      <c r="I133" s="5" t="s">
        <v>277</v>
      </c>
      <c r="J133" s="5" t="s">
        <v>171</v>
      </c>
      <c r="K133" s="5" t="s">
        <v>277</v>
      </c>
      <c r="L133" s="5" t="s">
        <v>26</v>
      </c>
      <c r="M133" s="5" t="s">
        <v>277</v>
      </c>
      <c r="N133" s="5" t="s">
        <v>38</v>
      </c>
      <c r="O133" s="5">
        <v>7</v>
      </c>
      <c r="P133" s="5">
        <v>172</v>
      </c>
      <c r="Q133" s="5">
        <v>20</v>
      </c>
      <c r="R133" s="5" t="s">
        <v>28</v>
      </c>
      <c r="S133" s="5" t="s">
        <v>29</v>
      </c>
      <c r="T133" s="5" t="s">
        <v>178</v>
      </c>
      <c r="U133" s="7" t="s">
        <v>70</v>
      </c>
    </row>
    <row r="134" spans="1:21" x14ac:dyDescent="0.25">
      <c r="A134" s="4">
        <v>1082604</v>
      </c>
      <c r="B134" s="5" t="s">
        <v>42</v>
      </c>
      <c r="C134" s="6">
        <v>42840</v>
      </c>
      <c r="D134" s="5" t="s">
        <v>352</v>
      </c>
      <c r="E134" s="5" t="s">
        <v>79</v>
      </c>
      <c r="F134" s="5" t="s">
        <v>43</v>
      </c>
      <c r="G134" s="5" t="s">
        <v>21</v>
      </c>
      <c r="H134" s="5" t="s">
        <v>79</v>
      </c>
      <c r="I134" s="5" t="s">
        <v>25</v>
      </c>
      <c r="J134" s="5" t="s">
        <v>121</v>
      </c>
      <c r="K134" s="5" t="s">
        <v>121</v>
      </c>
      <c r="L134" s="5" t="s">
        <v>26</v>
      </c>
      <c r="M134" s="5" t="s">
        <v>25</v>
      </c>
      <c r="N134" s="5" t="s">
        <v>27</v>
      </c>
      <c r="O134" s="5">
        <v>17</v>
      </c>
      <c r="P134" s="5">
        <v>173</v>
      </c>
      <c r="Q134" s="5">
        <v>20</v>
      </c>
      <c r="R134" s="5" t="s">
        <v>28</v>
      </c>
      <c r="S134" s="5" t="s">
        <v>29</v>
      </c>
      <c r="T134" s="5" t="s">
        <v>183</v>
      </c>
      <c r="U134" s="7" t="s">
        <v>132</v>
      </c>
    </row>
    <row r="135" spans="1:21" x14ac:dyDescent="0.25">
      <c r="A135" s="4">
        <v>1082605</v>
      </c>
      <c r="B135" s="5" t="s">
        <v>35</v>
      </c>
      <c r="C135" s="6">
        <v>42840</v>
      </c>
      <c r="D135" s="5" t="s">
        <v>352</v>
      </c>
      <c r="E135" s="5" t="s">
        <v>148</v>
      </c>
      <c r="F135" s="5" t="s">
        <v>36</v>
      </c>
      <c r="G135" s="5" t="s">
        <v>21</v>
      </c>
      <c r="H135" s="5" t="s">
        <v>148</v>
      </c>
      <c r="I135" s="5" t="s">
        <v>229</v>
      </c>
      <c r="J135" s="5" t="s">
        <v>32</v>
      </c>
      <c r="K135" s="5" t="s">
        <v>229</v>
      </c>
      <c r="L135" s="5" t="s">
        <v>34</v>
      </c>
      <c r="M135" s="5" t="s">
        <v>229</v>
      </c>
      <c r="N135" s="5" t="s">
        <v>27</v>
      </c>
      <c r="O135" s="5">
        <v>51</v>
      </c>
      <c r="P135" s="5">
        <v>189</v>
      </c>
      <c r="Q135" s="5">
        <v>20</v>
      </c>
      <c r="R135" s="5" t="s">
        <v>28</v>
      </c>
      <c r="S135" s="5" t="s">
        <v>29</v>
      </c>
      <c r="T135" s="5" t="s">
        <v>202</v>
      </c>
      <c r="U135" s="7" t="s">
        <v>174</v>
      </c>
    </row>
    <row r="136" spans="1:21" x14ac:dyDescent="0.25">
      <c r="A136" s="4">
        <v>1082606</v>
      </c>
      <c r="B136" s="5" t="s">
        <v>39</v>
      </c>
      <c r="C136" s="6">
        <v>42841</v>
      </c>
      <c r="D136" s="5" t="s">
        <v>352</v>
      </c>
      <c r="E136" s="5" t="s">
        <v>199</v>
      </c>
      <c r="F136" s="5" t="s">
        <v>40</v>
      </c>
      <c r="G136" s="5" t="s">
        <v>21</v>
      </c>
      <c r="H136" s="5" t="s">
        <v>199</v>
      </c>
      <c r="I136" s="5" t="s">
        <v>41</v>
      </c>
      <c r="J136" s="5" t="s">
        <v>277</v>
      </c>
      <c r="K136" s="5" t="s">
        <v>41</v>
      </c>
      <c r="L136" s="5" t="s">
        <v>26</v>
      </c>
      <c r="M136" s="5" t="s">
        <v>41</v>
      </c>
      <c r="N136" s="5" t="s">
        <v>38</v>
      </c>
      <c r="O136" s="5">
        <v>6</v>
      </c>
      <c r="P136" s="5">
        <v>177</v>
      </c>
      <c r="Q136" s="5">
        <v>20</v>
      </c>
      <c r="R136" s="5" t="s">
        <v>28</v>
      </c>
      <c r="S136" s="5" t="s">
        <v>29</v>
      </c>
      <c r="T136" s="5" t="s">
        <v>178</v>
      </c>
      <c r="U136" s="7" t="s">
        <v>70</v>
      </c>
    </row>
    <row r="137" spans="1:21" x14ac:dyDescent="0.25">
      <c r="A137" s="4">
        <v>1082607</v>
      </c>
      <c r="B137" s="5" t="s">
        <v>20</v>
      </c>
      <c r="C137" s="6">
        <v>42841</v>
      </c>
      <c r="D137" s="5" t="s">
        <v>352</v>
      </c>
      <c r="E137" s="5" t="s">
        <v>203</v>
      </c>
      <c r="F137" s="5" t="s">
        <v>23</v>
      </c>
      <c r="G137" s="5" t="s">
        <v>21</v>
      </c>
      <c r="H137" s="5" t="s">
        <v>203</v>
      </c>
      <c r="I137" s="5" t="s">
        <v>24</v>
      </c>
      <c r="J137" s="5" t="s">
        <v>171</v>
      </c>
      <c r="K137" s="5" t="s">
        <v>24</v>
      </c>
      <c r="L137" s="5" t="s">
        <v>26</v>
      </c>
      <c r="M137" s="5" t="s">
        <v>171</v>
      </c>
      <c r="N137" s="5" t="s">
        <v>27</v>
      </c>
      <c r="O137" s="5">
        <v>27</v>
      </c>
      <c r="P137" s="5">
        <v>162</v>
      </c>
      <c r="Q137" s="5">
        <v>20</v>
      </c>
      <c r="R137" s="5" t="s">
        <v>28</v>
      </c>
      <c r="S137" s="5" t="s">
        <v>29</v>
      </c>
      <c r="T137" s="5" t="s">
        <v>186</v>
      </c>
      <c r="U137" s="7" t="s">
        <v>118</v>
      </c>
    </row>
    <row r="138" spans="1:21" x14ac:dyDescent="0.25">
      <c r="A138" s="4">
        <v>1082608</v>
      </c>
      <c r="B138" s="5" t="s">
        <v>35</v>
      </c>
      <c r="C138" s="6">
        <v>42842</v>
      </c>
      <c r="D138" s="5" t="s">
        <v>352</v>
      </c>
      <c r="E138" s="5" t="s">
        <v>165</v>
      </c>
      <c r="F138" s="5" t="s">
        <v>36</v>
      </c>
      <c r="G138" s="5" t="s">
        <v>21</v>
      </c>
      <c r="H138" s="5" t="s">
        <v>165</v>
      </c>
      <c r="I138" s="5" t="s">
        <v>229</v>
      </c>
      <c r="J138" s="5" t="s">
        <v>25</v>
      </c>
      <c r="K138" s="5" t="s">
        <v>229</v>
      </c>
      <c r="L138" s="5" t="s">
        <v>34</v>
      </c>
      <c r="M138" s="5" t="s">
        <v>25</v>
      </c>
      <c r="N138" s="5" t="s">
        <v>38</v>
      </c>
      <c r="O138" s="5">
        <v>4</v>
      </c>
      <c r="P138" s="5">
        <v>169</v>
      </c>
      <c r="Q138" s="5">
        <v>20</v>
      </c>
      <c r="R138" s="5" t="s">
        <v>28</v>
      </c>
      <c r="S138" s="5" t="s">
        <v>29</v>
      </c>
      <c r="T138" s="5" t="s">
        <v>174</v>
      </c>
      <c r="U138" s="7" t="s">
        <v>126</v>
      </c>
    </row>
    <row r="139" spans="1:21" x14ac:dyDescent="0.25">
      <c r="A139" s="4">
        <v>1082609</v>
      </c>
      <c r="B139" s="5" t="s">
        <v>47</v>
      </c>
      <c r="C139" s="6">
        <v>42842</v>
      </c>
      <c r="D139" s="5" t="s">
        <v>352</v>
      </c>
      <c r="E139" s="5" t="s">
        <v>147</v>
      </c>
      <c r="F139" s="5" t="s">
        <v>48</v>
      </c>
      <c r="G139" s="5" t="s">
        <v>21</v>
      </c>
      <c r="H139" s="5" t="s">
        <v>147</v>
      </c>
      <c r="I139" s="5" t="s">
        <v>121</v>
      </c>
      <c r="J139" s="5" t="s">
        <v>32</v>
      </c>
      <c r="K139" s="5" t="s">
        <v>32</v>
      </c>
      <c r="L139" s="5" t="s">
        <v>26</v>
      </c>
      <c r="M139" s="5" t="s">
        <v>121</v>
      </c>
      <c r="N139" s="5" t="s">
        <v>27</v>
      </c>
      <c r="O139" s="5">
        <v>5</v>
      </c>
      <c r="P139" s="5">
        <v>160</v>
      </c>
      <c r="Q139" s="5">
        <v>20</v>
      </c>
      <c r="R139" s="5" t="s">
        <v>28</v>
      </c>
      <c r="S139" s="5" t="s">
        <v>29</v>
      </c>
      <c r="T139" s="5" t="s">
        <v>183</v>
      </c>
      <c r="U139" s="7" t="s">
        <v>198</v>
      </c>
    </row>
    <row r="140" spans="1:21" x14ac:dyDescent="0.25">
      <c r="A140" s="4">
        <v>1082610</v>
      </c>
      <c r="B140" s="5" t="s">
        <v>175</v>
      </c>
      <c r="C140" s="6">
        <v>42843</v>
      </c>
      <c r="D140" s="5" t="s">
        <v>352</v>
      </c>
      <c r="E140" s="5" t="s">
        <v>62</v>
      </c>
      <c r="F140" s="5" t="s">
        <v>176</v>
      </c>
      <c r="G140" s="5" t="s">
        <v>21</v>
      </c>
      <c r="H140" s="5" t="s">
        <v>62</v>
      </c>
      <c r="I140" s="5" t="s">
        <v>277</v>
      </c>
      <c r="J140" s="5" t="s">
        <v>24</v>
      </c>
      <c r="K140" s="5" t="s">
        <v>277</v>
      </c>
      <c r="L140" s="5" t="s">
        <v>26</v>
      </c>
      <c r="M140" s="5" t="s">
        <v>24</v>
      </c>
      <c r="N140" s="5" t="s">
        <v>27</v>
      </c>
      <c r="O140" s="5">
        <v>21</v>
      </c>
      <c r="P140" s="5">
        <v>214</v>
      </c>
      <c r="Q140" s="5">
        <v>20</v>
      </c>
      <c r="R140" s="5" t="s">
        <v>28</v>
      </c>
      <c r="S140" s="5" t="s">
        <v>29</v>
      </c>
      <c r="T140" s="5" t="s">
        <v>70</v>
      </c>
      <c r="U140" s="7" t="s">
        <v>173</v>
      </c>
    </row>
    <row r="141" spans="1:21" x14ac:dyDescent="0.25">
      <c r="A141" s="4">
        <v>1082611</v>
      </c>
      <c r="B141" s="5" t="s">
        <v>47</v>
      </c>
      <c r="C141" s="6">
        <v>42844</v>
      </c>
      <c r="D141" s="5" t="s">
        <v>352</v>
      </c>
      <c r="E141" s="5" t="s">
        <v>204</v>
      </c>
      <c r="F141" s="5" t="s">
        <v>48</v>
      </c>
      <c r="G141" s="5" t="s">
        <v>21</v>
      </c>
      <c r="H141" s="5" t="s">
        <v>204</v>
      </c>
      <c r="I141" s="5" t="s">
        <v>121</v>
      </c>
      <c r="J141" s="5" t="s">
        <v>229</v>
      </c>
      <c r="K141" s="5" t="s">
        <v>121</v>
      </c>
      <c r="L141" s="5" t="s">
        <v>34</v>
      </c>
      <c r="M141" s="5" t="s">
        <v>121</v>
      </c>
      <c r="N141" s="5" t="s">
        <v>27</v>
      </c>
      <c r="O141" s="5">
        <v>15</v>
      </c>
      <c r="P141" s="5">
        <v>192</v>
      </c>
      <c r="Q141" s="5">
        <v>20</v>
      </c>
      <c r="R141" s="5" t="s">
        <v>28</v>
      </c>
      <c r="S141" s="5" t="s">
        <v>29</v>
      </c>
      <c r="T141" s="5" t="s">
        <v>155</v>
      </c>
      <c r="U141" s="7" t="s">
        <v>132</v>
      </c>
    </row>
    <row r="142" spans="1:21" x14ac:dyDescent="0.25">
      <c r="A142" s="4">
        <v>1082612</v>
      </c>
      <c r="B142" s="5" t="s">
        <v>95</v>
      </c>
      <c r="C142" s="6">
        <v>42845</v>
      </c>
      <c r="D142" s="5" t="s">
        <v>352</v>
      </c>
      <c r="E142" s="5" t="s">
        <v>205</v>
      </c>
      <c r="F142" s="5" t="s">
        <v>96</v>
      </c>
      <c r="G142" s="5" t="s">
        <v>21</v>
      </c>
      <c r="H142" s="5" t="s">
        <v>205</v>
      </c>
      <c r="I142" s="5" t="s">
        <v>32</v>
      </c>
      <c r="J142" s="5" t="s">
        <v>41</v>
      </c>
      <c r="K142" s="5" t="s">
        <v>41</v>
      </c>
      <c r="L142" s="5" t="s">
        <v>26</v>
      </c>
      <c r="M142" s="5" t="s">
        <v>41</v>
      </c>
      <c r="N142" s="5" t="s">
        <v>38</v>
      </c>
      <c r="O142" s="5">
        <v>8</v>
      </c>
      <c r="P142" s="5">
        <v>199</v>
      </c>
      <c r="Q142" s="5">
        <v>20</v>
      </c>
      <c r="R142" s="5" t="s">
        <v>28</v>
      </c>
      <c r="S142" s="5" t="s">
        <v>29</v>
      </c>
      <c r="T142" s="5" t="s">
        <v>63</v>
      </c>
      <c r="U142" s="7" t="s">
        <v>118</v>
      </c>
    </row>
    <row r="143" spans="1:21" x14ac:dyDescent="0.25">
      <c r="A143" s="4">
        <v>1082613</v>
      </c>
      <c r="B143" s="5" t="s">
        <v>42</v>
      </c>
      <c r="C143" s="6">
        <v>42846</v>
      </c>
      <c r="D143" s="5" t="s">
        <v>352</v>
      </c>
      <c r="E143" s="5" t="s">
        <v>60</v>
      </c>
      <c r="F143" s="5" t="s">
        <v>43</v>
      </c>
      <c r="G143" s="5" t="s">
        <v>21</v>
      </c>
      <c r="H143" s="5" t="s">
        <v>60</v>
      </c>
      <c r="I143" s="5" t="s">
        <v>25</v>
      </c>
      <c r="J143" s="5" t="s">
        <v>277</v>
      </c>
      <c r="K143" s="5" t="s">
        <v>277</v>
      </c>
      <c r="L143" s="5" t="s">
        <v>26</v>
      </c>
      <c r="M143" s="5" t="s">
        <v>277</v>
      </c>
      <c r="N143" s="5" t="s">
        <v>38</v>
      </c>
      <c r="O143" s="5">
        <v>4</v>
      </c>
      <c r="P143" s="5">
        <v>188</v>
      </c>
      <c r="Q143" s="5">
        <v>20</v>
      </c>
      <c r="R143" s="5" t="s">
        <v>28</v>
      </c>
      <c r="S143" s="5" t="s">
        <v>29</v>
      </c>
      <c r="T143" s="5" t="s">
        <v>155</v>
      </c>
      <c r="U143" s="7" t="s">
        <v>174</v>
      </c>
    </row>
    <row r="144" spans="1:21" x14ac:dyDescent="0.25">
      <c r="A144" s="4">
        <v>1082614</v>
      </c>
      <c r="B144" s="5" t="s">
        <v>39</v>
      </c>
      <c r="C144" s="6">
        <v>42847</v>
      </c>
      <c r="D144" s="5" t="s">
        <v>352</v>
      </c>
      <c r="E144" s="5" t="s">
        <v>170</v>
      </c>
      <c r="F144" s="5" t="s">
        <v>40</v>
      </c>
      <c r="G144" s="5" t="s">
        <v>21</v>
      </c>
      <c r="H144" s="5" t="s">
        <v>170</v>
      </c>
      <c r="I144" s="5" t="s">
        <v>41</v>
      </c>
      <c r="J144" s="5" t="s">
        <v>229</v>
      </c>
      <c r="K144" s="5" t="s">
        <v>229</v>
      </c>
      <c r="L144" s="5" t="s">
        <v>26</v>
      </c>
      <c r="M144" s="5" t="s">
        <v>41</v>
      </c>
      <c r="N144" s="5" t="s">
        <v>27</v>
      </c>
      <c r="O144" s="5">
        <v>14</v>
      </c>
      <c r="P144" s="5">
        <v>143</v>
      </c>
      <c r="Q144" s="5">
        <v>20</v>
      </c>
      <c r="R144" s="5" t="s">
        <v>28</v>
      </c>
      <c r="S144" s="5" t="s">
        <v>29</v>
      </c>
      <c r="T144" s="5" t="s">
        <v>178</v>
      </c>
      <c r="U144" s="7" t="s">
        <v>70</v>
      </c>
    </row>
    <row r="145" spans="1:21" x14ac:dyDescent="0.25">
      <c r="A145" s="4">
        <v>1082615</v>
      </c>
      <c r="B145" s="5" t="s">
        <v>111</v>
      </c>
      <c r="C145" s="6">
        <v>42847</v>
      </c>
      <c r="D145" s="5" t="s">
        <v>352</v>
      </c>
      <c r="E145" s="5" t="s">
        <v>52</v>
      </c>
      <c r="F145" s="5" t="s">
        <v>127</v>
      </c>
      <c r="G145" s="5" t="s">
        <v>21</v>
      </c>
      <c r="H145" s="5" t="s">
        <v>52</v>
      </c>
      <c r="I145" s="5" t="s">
        <v>171</v>
      </c>
      <c r="J145" s="5" t="s">
        <v>121</v>
      </c>
      <c r="K145" s="5" t="s">
        <v>171</v>
      </c>
      <c r="L145" s="5" t="s">
        <v>26</v>
      </c>
      <c r="M145" s="5" t="s">
        <v>171</v>
      </c>
      <c r="N145" s="5" t="s">
        <v>38</v>
      </c>
      <c r="O145" s="5">
        <v>6</v>
      </c>
      <c r="P145" s="5">
        <v>177</v>
      </c>
      <c r="Q145" s="5">
        <v>20</v>
      </c>
      <c r="R145" s="5" t="s">
        <v>28</v>
      </c>
      <c r="S145" s="5" t="s">
        <v>29</v>
      </c>
      <c r="T145" s="5" t="s">
        <v>183</v>
      </c>
      <c r="U145" s="7" t="s">
        <v>198</v>
      </c>
    </row>
    <row r="146" spans="1:21" x14ac:dyDescent="0.25">
      <c r="A146" s="4">
        <v>1082616</v>
      </c>
      <c r="B146" s="5" t="s">
        <v>175</v>
      </c>
      <c r="C146" s="6">
        <v>42848</v>
      </c>
      <c r="D146" s="5" t="s">
        <v>352</v>
      </c>
      <c r="E146" s="5" t="s">
        <v>191</v>
      </c>
      <c r="F146" s="5" t="s">
        <v>176</v>
      </c>
      <c r="G146" s="5" t="s">
        <v>21</v>
      </c>
      <c r="H146" s="5" t="s">
        <v>191</v>
      </c>
      <c r="I146" s="5" t="s">
        <v>277</v>
      </c>
      <c r="J146" s="5" t="s">
        <v>32</v>
      </c>
      <c r="K146" s="5" t="s">
        <v>277</v>
      </c>
      <c r="L146" s="5" t="s">
        <v>26</v>
      </c>
      <c r="M146" s="5" t="s">
        <v>32</v>
      </c>
      <c r="N146" s="5" t="s">
        <v>27</v>
      </c>
      <c r="O146" s="5">
        <v>26</v>
      </c>
      <c r="P146" s="5">
        <v>189</v>
      </c>
      <c r="Q146" s="5">
        <v>20</v>
      </c>
      <c r="R146" s="5" t="s">
        <v>28</v>
      </c>
      <c r="S146" s="5" t="s">
        <v>29</v>
      </c>
      <c r="T146" s="5" t="s">
        <v>105</v>
      </c>
      <c r="U146" s="7" t="s">
        <v>63</v>
      </c>
    </row>
    <row r="147" spans="1:21" x14ac:dyDescent="0.25">
      <c r="A147" s="4">
        <v>1082617</v>
      </c>
      <c r="B147" s="5" t="s">
        <v>42</v>
      </c>
      <c r="C147" s="6">
        <v>42848</v>
      </c>
      <c r="D147" s="5" t="s">
        <v>352</v>
      </c>
      <c r="E147" s="5" t="s">
        <v>165</v>
      </c>
      <c r="F147" s="5" t="s">
        <v>43</v>
      </c>
      <c r="G147" s="5" t="s">
        <v>21</v>
      </c>
      <c r="H147" s="5" t="s">
        <v>165</v>
      </c>
      <c r="I147" s="5" t="s">
        <v>25</v>
      </c>
      <c r="J147" s="5" t="s">
        <v>24</v>
      </c>
      <c r="K147" s="5" t="s">
        <v>24</v>
      </c>
      <c r="L147" s="5" t="s">
        <v>26</v>
      </c>
      <c r="M147" s="5" t="s">
        <v>25</v>
      </c>
      <c r="N147" s="5" t="s">
        <v>27</v>
      </c>
      <c r="O147" s="5">
        <v>82</v>
      </c>
      <c r="P147" s="5">
        <v>132</v>
      </c>
      <c r="Q147" s="5">
        <v>20</v>
      </c>
      <c r="R147" s="5" t="s">
        <v>28</v>
      </c>
      <c r="S147" s="5" t="s">
        <v>29</v>
      </c>
      <c r="T147" s="5" t="s">
        <v>155</v>
      </c>
      <c r="U147" s="7" t="s">
        <v>126</v>
      </c>
    </row>
    <row r="148" spans="1:21" x14ac:dyDescent="0.25">
      <c r="A148" s="4">
        <v>1082618</v>
      </c>
      <c r="B148" s="5" t="s">
        <v>39</v>
      </c>
      <c r="C148" s="6">
        <v>42849</v>
      </c>
      <c r="D148" s="5" t="s">
        <v>352</v>
      </c>
      <c r="E148" s="5" t="s">
        <v>203</v>
      </c>
      <c r="F148" s="5" t="s">
        <v>40</v>
      </c>
      <c r="G148" s="5" t="s">
        <v>21</v>
      </c>
      <c r="H148" s="5" t="s">
        <v>203</v>
      </c>
      <c r="I148" s="5" t="s">
        <v>41</v>
      </c>
      <c r="J148" s="5" t="s">
        <v>171</v>
      </c>
      <c r="K148" s="5" t="s">
        <v>41</v>
      </c>
      <c r="L148" s="5" t="s">
        <v>26</v>
      </c>
      <c r="M148" s="5" t="s">
        <v>171</v>
      </c>
      <c r="N148" s="5" t="s">
        <v>27</v>
      </c>
      <c r="O148" s="5">
        <v>3</v>
      </c>
      <c r="P148" s="5">
        <v>161</v>
      </c>
      <c r="Q148" s="5">
        <v>20</v>
      </c>
      <c r="R148" s="5" t="s">
        <v>28</v>
      </c>
      <c r="S148" s="5" t="s">
        <v>29</v>
      </c>
      <c r="T148" s="5" t="s">
        <v>178</v>
      </c>
      <c r="U148" s="7" t="s">
        <v>70</v>
      </c>
    </row>
    <row r="149" spans="1:21" x14ac:dyDescent="0.25">
      <c r="A149" s="4">
        <v>1082620</v>
      </c>
      <c r="B149" s="5" t="s">
        <v>111</v>
      </c>
      <c r="C149" s="6">
        <v>42851</v>
      </c>
      <c r="D149" s="5" t="s">
        <v>352</v>
      </c>
      <c r="E149" s="5" t="s">
        <v>79</v>
      </c>
      <c r="F149" s="5" t="s">
        <v>127</v>
      </c>
      <c r="G149" s="5" t="s">
        <v>21</v>
      </c>
      <c r="H149" s="5" t="s">
        <v>79</v>
      </c>
      <c r="I149" s="5" t="s">
        <v>171</v>
      </c>
      <c r="J149" s="5" t="s">
        <v>25</v>
      </c>
      <c r="K149" s="5" t="s">
        <v>25</v>
      </c>
      <c r="L149" s="5" t="s">
        <v>26</v>
      </c>
      <c r="M149" s="5" t="s">
        <v>25</v>
      </c>
      <c r="N149" s="5" t="s">
        <v>38</v>
      </c>
      <c r="O149" s="5">
        <v>7</v>
      </c>
      <c r="P149" s="5">
        <v>183</v>
      </c>
      <c r="Q149" s="5">
        <v>20</v>
      </c>
      <c r="R149" s="5" t="s">
        <v>28</v>
      </c>
      <c r="S149" s="5" t="s">
        <v>29</v>
      </c>
      <c r="T149" s="5" t="s">
        <v>183</v>
      </c>
      <c r="U149" s="7" t="s">
        <v>132</v>
      </c>
    </row>
    <row r="150" spans="1:21" x14ac:dyDescent="0.25">
      <c r="A150" s="4">
        <v>1082621</v>
      </c>
      <c r="B150" s="5" t="s">
        <v>20</v>
      </c>
      <c r="C150" s="6">
        <v>42852</v>
      </c>
      <c r="D150" s="5" t="s">
        <v>352</v>
      </c>
      <c r="E150" s="5" t="s">
        <v>201</v>
      </c>
      <c r="F150" s="5" t="s">
        <v>23</v>
      </c>
      <c r="G150" s="5" t="s">
        <v>21</v>
      </c>
      <c r="H150" s="5" t="s">
        <v>201</v>
      </c>
      <c r="I150" s="5" t="s">
        <v>24</v>
      </c>
      <c r="J150" s="5" t="s">
        <v>277</v>
      </c>
      <c r="K150" s="5" t="s">
        <v>277</v>
      </c>
      <c r="L150" s="5" t="s">
        <v>26</v>
      </c>
      <c r="M150" s="5" t="s">
        <v>277</v>
      </c>
      <c r="N150" s="5" t="s">
        <v>38</v>
      </c>
      <c r="O150" s="5">
        <v>7</v>
      </c>
      <c r="P150" s="5">
        <v>135</v>
      </c>
      <c r="Q150" s="5">
        <v>20</v>
      </c>
      <c r="R150" s="5" t="s">
        <v>28</v>
      </c>
      <c r="S150" s="5" t="s">
        <v>29</v>
      </c>
      <c r="T150" s="5" t="s">
        <v>105</v>
      </c>
      <c r="U150" s="7" t="s">
        <v>118</v>
      </c>
    </row>
    <row r="151" spans="1:21" x14ac:dyDescent="0.25">
      <c r="A151" s="4">
        <v>1082622</v>
      </c>
      <c r="B151" s="5" t="s">
        <v>42</v>
      </c>
      <c r="C151" s="6">
        <v>42853</v>
      </c>
      <c r="D151" s="5" t="s">
        <v>352</v>
      </c>
      <c r="E151" s="5" t="s">
        <v>71</v>
      </c>
      <c r="F151" s="5" t="s">
        <v>43</v>
      </c>
      <c r="G151" s="5" t="s">
        <v>21</v>
      </c>
      <c r="H151" s="5" t="s">
        <v>71</v>
      </c>
      <c r="I151" s="5" t="s">
        <v>25</v>
      </c>
      <c r="J151" s="5" t="s">
        <v>229</v>
      </c>
      <c r="K151" s="5" t="s">
        <v>25</v>
      </c>
      <c r="L151" s="5" t="s">
        <v>26</v>
      </c>
      <c r="M151" s="5" t="s">
        <v>25</v>
      </c>
      <c r="N151" s="5" t="s">
        <v>38</v>
      </c>
      <c r="O151" s="5">
        <v>7</v>
      </c>
      <c r="P151" s="5">
        <v>161</v>
      </c>
      <c r="Q151" s="5">
        <v>20</v>
      </c>
      <c r="R151" s="5" t="s">
        <v>28</v>
      </c>
      <c r="S151" s="5" t="s">
        <v>29</v>
      </c>
      <c r="T151" s="5" t="s">
        <v>132</v>
      </c>
      <c r="U151" s="7" t="s">
        <v>70</v>
      </c>
    </row>
    <row r="152" spans="1:21" x14ac:dyDescent="0.25">
      <c r="A152" s="4">
        <v>1082623</v>
      </c>
      <c r="B152" s="5" t="s">
        <v>30</v>
      </c>
      <c r="C152" s="6">
        <v>42853</v>
      </c>
      <c r="D152" s="5" t="s">
        <v>352</v>
      </c>
      <c r="E152" s="5" t="s">
        <v>197</v>
      </c>
      <c r="F152" s="5" t="s">
        <v>172</v>
      </c>
      <c r="G152" s="5" t="s">
        <v>21</v>
      </c>
      <c r="H152" s="5" t="s">
        <v>197</v>
      </c>
      <c r="I152" s="5" t="s">
        <v>32</v>
      </c>
      <c r="J152" s="5" t="s">
        <v>121</v>
      </c>
      <c r="K152" s="5" t="s">
        <v>32</v>
      </c>
      <c r="L152" s="5" t="s">
        <v>26</v>
      </c>
      <c r="M152" s="5" t="s">
        <v>121</v>
      </c>
      <c r="N152" s="5" t="s">
        <v>27</v>
      </c>
      <c r="O152" s="5">
        <v>26</v>
      </c>
      <c r="P152" s="5">
        <v>208</v>
      </c>
      <c r="Q152" s="5">
        <v>20</v>
      </c>
      <c r="R152" s="5" t="s">
        <v>28</v>
      </c>
      <c r="S152" s="5" t="s">
        <v>29</v>
      </c>
      <c r="T152" s="5" t="s">
        <v>174</v>
      </c>
      <c r="U152" s="7" t="s">
        <v>126</v>
      </c>
    </row>
    <row r="153" spans="1:21" x14ac:dyDescent="0.25">
      <c r="A153" s="4">
        <v>1082624</v>
      </c>
      <c r="B153" s="5" t="s">
        <v>111</v>
      </c>
      <c r="C153" s="6">
        <v>42854</v>
      </c>
      <c r="D153" s="5" t="s">
        <v>352</v>
      </c>
      <c r="E153" s="5" t="s">
        <v>206</v>
      </c>
      <c r="F153" s="5" t="s">
        <v>127</v>
      </c>
      <c r="G153" s="5" t="s">
        <v>21</v>
      </c>
      <c r="H153" s="5" t="s">
        <v>206</v>
      </c>
      <c r="I153" s="5" t="s">
        <v>171</v>
      </c>
      <c r="J153" s="5" t="s">
        <v>24</v>
      </c>
      <c r="K153" s="5" t="s">
        <v>24</v>
      </c>
      <c r="L153" s="5" t="s">
        <v>26</v>
      </c>
      <c r="M153" s="5" t="s">
        <v>171</v>
      </c>
      <c r="N153" s="5" t="s">
        <v>27</v>
      </c>
      <c r="O153" s="5">
        <v>61</v>
      </c>
      <c r="P153" s="5">
        <v>158</v>
      </c>
      <c r="Q153" s="5">
        <v>20</v>
      </c>
      <c r="R153" s="5" t="s">
        <v>28</v>
      </c>
      <c r="S153" s="5" t="s">
        <v>29</v>
      </c>
      <c r="T153" s="5" t="s">
        <v>186</v>
      </c>
      <c r="U153" s="7" t="s">
        <v>63</v>
      </c>
    </row>
    <row r="154" spans="1:21" x14ac:dyDescent="0.25">
      <c r="A154" s="4">
        <v>1082625</v>
      </c>
      <c r="B154" s="5" t="s">
        <v>175</v>
      </c>
      <c r="C154" s="6">
        <v>42854</v>
      </c>
      <c r="D154" s="5" t="s">
        <v>352</v>
      </c>
      <c r="E154" s="5" t="s">
        <v>190</v>
      </c>
      <c r="F154" s="5" t="s">
        <v>176</v>
      </c>
      <c r="G154" s="5" t="s">
        <v>21</v>
      </c>
      <c r="H154" s="5" t="s">
        <v>190</v>
      </c>
      <c r="I154" s="5" t="s">
        <v>277</v>
      </c>
      <c r="J154" s="5" t="s">
        <v>41</v>
      </c>
      <c r="K154" s="5" t="s">
        <v>277</v>
      </c>
      <c r="L154" s="5" t="s">
        <v>34</v>
      </c>
      <c r="M154" s="5" t="s">
        <v>41</v>
      </c>
      <c r="N154" s="5" t="s">
        <v>65</v>
      </c>
      <c r="O154" s="5" t="s">
        <v>29</v>
      </c>
      <c r="P154" s="5">
        <v>154</v>
      </c>
      <c r="Q154" s="5">
        <v>20</v>
      </c>
      <c r="R154" s="5" t="s">
        <v>66</v>
      </c>
      <c r="S154" s="5" t="s">
        <v>29</v>
      </c>
      <c r="T154" s="5" t="s">
        <v>105</v>
      </c>
      <c r="U154" s="7" t="s">
        <v>155</v>
      </c>
    </row>
    <row r="155" spans="1:21" x14ac:dyDescent="0.25">
      <c r="A155" s="4">
        <v>1082626</v>
      </c>
      <c r="B155" s="5" t="s">
        <v>30</v>
      </c>
      <c r="C155" s="6">
        <v>42855</v>
      </c>
      <c r="D155" s="5" t="s">
        <v>352</v>
      </c>
      <c r="E155" s="5" t="s">
        <v>146</v>
      </c>
      <c r="F155" s="5" t="s">
        <v>172</v>
      </c>
      <c r="G155" s="5" t="s">
        <v>21</v>
      </c>
      <c r="H155" s="5" t="s">
        <v>146</v>
      </c>
      <c r="I155" s="5" t="s">
        <v>32</v>
      </c>
      <c r="J155" s="5" t="s">
        <v>229</v>
      </c>
      <c r="K155" s="5" t="s">
        <v>32</v>
      </c>
      <c r="L155" s="5" t="s">
        <v>26</v>
      </c>
      <c r="M155" s="5" t="s">
        <v>32</v>
      </c>
      <c r="N155" s="5" t="s">
        <v>38</v>
      </c>
      <c r="O155" s="5">
        <v>10</v>
      </c>
      <c r="P155" s="5">
        <v>68</v>
      </c>
      <c r="Q155" s="5">
        <v>20</v>
      </c>
      <c r="R155" s="5" t="s">
        <v>28</v>
      </c>
      <c r="S155" s="5" t="s">
        <v>29</v>
      </c>
      <c r="T155" s="5" t="s">
        <v>202</v>
      </c>
      <c r="U155" s="7" t="s">
        <v>126</v>
      </c>
    </row>
    <row r="156" spans="1:21" x14ac:dyDescent="0.25">
      <c r="A156" s="4">
        <v>1082627</v>
      </c>
      <c r="B156" s="5" t="s">
        <v>47</v>
      </c>
      <c r="C156" s="6">
        <v>42855</v>
      </c>
      <c r="D156" s="5" t="s">
        <v>352</v>
      </c>
      <c r="E156" s="5" t="s">
        <v>82</v>
      </c>
      <c r="F156" s="5" t="s">
        <v>48</v>
      </c>
      <c r="G156" s="5" t="s">
        <v>21</v>
      </c>
      <c r="H156" s="5" t="s">
        <v>82</v>
      </c>
      <c r="I156" s="5" t="s">
        <v>121</v>
      </c>
      <c r="J156" s="5" t="s">
        <v>25</v>
      </c>
      <c r="K156" s="5" t="s">
        <v>25</v>
      </c>
      <c r="L156" s="5" t="s">
        <v>26</v>
      </c>
      <c r="M156" s="5" t="s">
        <v>121</v>
      </c>
      <c r="N156" s="5" t="s">
        <v>27</v>
      </c>
      <c r="O156" s="5">
        <v>48</v>
      </c>
      <c r="P156" s="5">
        <v>210</v>
      </c>
      <c r="Q156" s="5">
        <v>20</v>
      </c>
      <c r="R156" s="5" t="s">
        <v>28</v>
      </c>
      <c r="S156" s="5" t="s">
        <v>29</v>
      </c>
      <c r="T156" s="5" t="s">
        <v>183</v>
      </c>
      <c r="U156" s="7" t="s">
        <v>70</v>
      </c>
    </row>
    <row r="157" spans="1:21" x14ac:dyDescent="0.25">
      <c r="A157" s="4">
        <v>1082628</v>
      </c>
      <c r="B157" s="5" t="s">
        <v>39</v>
      </c>
      <c r="C157" s="6">
        <v>42856</v>
      </c>
      <c r="D157" s="5" t="s">
        <v>352</v>
      </c>
      <c r="E157" s="5" t="s">
        <v>72</v>
      </c>
      <c r="F157" s="5" t="s">
        <v>40</v>
      </c>
      <c r="G157" s="5" t="s">
        <v>21</v>
      </c>
      <c r="H157" s="5" t="s">
        <v>72</v>
      </c>
      <c r="I157" s="5" t="s">
        <v>41</v>
      </c>
      <c r="J157" s="5" t="s">
        <v>24</v>
      </c>
      <c r="K157" s="5" t="s">
        <v>24</v>
      </c>
      <c r="L157" s="5" t="s">
        <v>34</v>
      </c>
      <c r="M157" s="5" t="s">
        <v>41</v>
      </c>
      <c r="N157" s="5" t="s">
        <v>38</v>
      </c>
      <c r="O157" s="5">
        <v>5</v>
      </c>
      <c r="P157" s="5">
        <v>163</v>
      </c>
      <c r="Q157" s="5">
        <v>20</v>
      </c>
      <c r="R157" s="5" t="s">
        <v>28</v>
      </c>
      <c r="S157" s="5" t="s">
        <v>29</v>
      </c>
      <c r="T157" s="5" t="s">
        <v>105</v>
      </c>
      <c r="U157" s="7" t="s">
        <v>155</v>
      </c>
    </row>
    <row r="158" spans="1:21" x14ac:dyDescent="0.25">
      <c r="A158" s="4">
        <v>1082629</v>
      </c>
      <c r="B158" s="5" t="s">
        <v>111</v>
      </c>
      <c r="C158" s="6">
        <v>42856</v>
      </c>
      <c r="D158" s="5" t="s">
        <v>352</v>
      </c>
      <c r="E158" s="5" t="s">
        <v>203</v>
      </c>
      <c r="F158" s="5" t="s">
        <v>127</v>
      </c>
      <c r="G158" s="5" t="s">
        <v>21</v>
      </c>
      <c r="H158" s="5" t="s">
        <v>203</v>
      </c>
      <c r="I158" s="5" t="s">
        <v>171</v>
      </c>
      <c r="J158" s="5" t="s">
        <v>277</v>
      </c>
      <c r="K158" s="5" t="s">
        <v>171</v>
      </c>
      <c r="L158" s="5" t="s">
        <v>26</v>
      </c>
      <c r="M158" s="5" t="s">
        <v>171</v>
      </c>
      <c r="N158" s="5" t="s">
        <v>38</v>
      </c>
      <c r="O158" s="5">
        <v>5</v>
      </c>
      <c r="P158" s="5">
        <v>162</v>
      </c>
      <c r="Q158" s="5">
        <v>20</v>
      </c>
      <c r="R158" s="5" t="s">
        <v>28</v>
      </c>
      <c r="S158" s="5" t="s">
        <v>29</v>
      </c>
      <c r="T158" s="5" t="s">
        <v>63</v>
      </c>
      <c r="U158" s="7" t="s">
        <v>118</v>
      </c>
    </row>
    <row r="159" spans="1:21" x14ac:dyDescent="0.25">
      <c r="A159" s="4">
        <v>1082630</v>
      </c>
      <c r="B159" s="5" t="s">
        <v>35</v>
      </c>
      <c r="C159" s="6">
        <v>42857</v>
      </c>
      <c r="D159" s="5" t="s">
        <v>352</v>
      </c>
      <c r="E159" s="5" t="s">
        <v>207</v>
      </c>
      <c r="F159" s="5" t="s">
        <v>36</v>
      </c>
      <c r="G159" s="5" t="s">
        <v>21</v>
      </c>
      <c r="H159" s="5" t="s">
        <v>207</v>
      </c>
      <c r="I159" s="5" t="s">
        <v>229</v>
      </c>
      <c r="J159" s="5" t="s">
        <v>121</v>
      </c>
      <c r="K159" s="5" t="s">
        <v>229</v>
      </c>
      <c r="L159" s="5" t="s">
        <v>26</v>
      </c>
      <c r="M159" s="5" t="s">
        <v>229</v>
      </c>
      <c r="N159" s="5" t="s">
        <v>38</v>
      </c>
      <c r="O159" s="5">
        <v>6</v>
      </c>
      <c r="P159" s="5">
        <v>186</v>
      </c>
      <c r="Q159" s="5">
        <v>20</v>
      </c>
      <c r="R159" s="5" t="s">
        <v>28</v>
      </c>
      <c r="S159" s="5" t="s">
        <v>29</v>
      </c>
      <c r="T159" s="5" t="s">
        <v>202</v>
      </c>
      <c r="U159" s="7" t="s">
        <v>174</v>
      </c>
    </row>
    <row r="160" spans="1:21" x14ac:dyDescent="0.25">
      <c r="A160" s="4">
        <v>1082631</v>
      </c>
      <c r="B160" s="5" t="s">
        <v>42</v>
      </c>
      <c r="C160" s="6">
        <v>42858</v>
      </c>
      <c r="D160" s="5" t="s">
        <v>352</v>
      </c>
      <c r="E160" s="5" t="s">
        <v>208</v>
      </c>
      <c r="F160" s="5" t="s">
        <v>43</v>
      </c>
      <c r="G160" s="5" t="s">
        <v>21</v>
      </c>
      <c r="H160" s="5" t="s">
        <v>208</v>
      </c>
      <c r="I160" s="5" t="s">
        <v>25</v>
      </c>
      <c r="J160" s="5" t="s">
        <v>171</v>
      </c>
      <c r="K160" s="5" t="s">
        <v>171</v>
      </c>
      <c r="L160" s="5" t="s">
        <v>26</v>
      </c>
      <c r="M160" s="5" t="s">
        <v>171</v>
      </c>
      <c r="N160" s="5" t="s">
        <v>38</v>
      </c>
      <c r="O160" s="5">
        <v>4</v>
      </c>
      <c r="P160" s="5">
        <v>156</v>
      </c>
      <c r="Q160" s="5">
        <v>20</v>
      </c>
      <c r="R160" s="5" t="s">
        <v>28</v>
      </c>
      <c r="S160" s="5" t="s">
        <v>29</v>
      </c>
      <c r="T160" s="5" t="s">
        <v>186</v>
      </c>
      <c r="U160" s="7" t="s">
        <v>178</v>
      </c>
    </row>
    <row r="161" spans="1:21" x14ac:dyDescent="0.25">
      <c r="A161" s="4">
        <v>1082632</v>
      </c>
      <c r="B161" s="5" t="s">
        <v>35</v>
      </c>
      <c r="C161" s="6">
        <v>42859</v>
      </c>
      <c r="D161" s="5" t="s">
        <v>352</v>
      </c>
      <c r="E161" s="5" t="s">
        <v>187</v>
      </c>
      <c r="F161" s="5" t="s">
        <v>36</v>
      </c>
      <c r="G161" s="5" t="s">
        <v>21</v>
      </c>
      <c r="H161" s="5" t="s">
        <v>187</v>
      </c>
      <c r="I161" s="5" t="s">
        <v>229</v>
      </c>
      <c r="J161" s="5" t="s">
        <v>277</v>
      </c>
      <c r="K161" s="5" t="s">
        <v>229</v>
      </c>
      <c r="L161" s="5" t="s">
        <v>26</v>
      </c>
      <c r="M161" s="5" t="s">
        <v>229</v>
      </c>
      <c r="N161" s="5" t="s">
        <v>38</v>
      </c>
      <c r="O161" s="5">
        <v>7</v>
      </c>
      <c r="P161" s="5">
        <v>209</v>
      </c>
      <c r="Q161" s="5">
        <v>20</v>
      </c>
      <c r="R161" s="5" t="s">
        <v>28</v>
      </c>
      <c r="S161" s="5" t="s">
        <v>29</v>
      </c>
      <c r="T161" s="5" t="s">
        <v>63</v>
      </c>
      <c r="U161" s="7" t="s">
        <v>174</v>
      </c>
    </row>
    <row r="162" spans="1:21" x14ac:dyDescent="0.25">
      <c r="A162" s="4">
        <v>1082633</v>
      </c>
      <c r="B162" s="5" t="s">
        <v>20</v>
      </c>
      <c r="C162" s="6">
        <v>42860</v>
      </c>
      <c r="D162" s="5" t="s">
        <v>352</v>
      </c>
      <c r="E162" s="5" t="s">
        <v>146</v>
      </c>
      <c r="F162" s="5" t="s">
        <v>23</v>
      </c>
      <c r="G162" s="5" t="s">
        <v>21</v>
      </c>
      <c r="H162" s="5" t="s">
        <v>146</v>
      </c>
      <c r="I162" s="5" t="s">
        <v>24</v>
      </c>
      <c r="J162" s="5" t="s">
        <v>32</v>
      </c>
      <c r="K162" s="5" t="s">
        <v>24</v>
      </c>
      <c r="L162" s="5" t="s">
        <v>26</v>
      </c>
      <c r="M162" s="5" t="s">
        <v>32</v>
      </c>
      <c r="N162" s="5" t="s">
        <v>27</v>
      </c>
      <c r="O162" s="5">
        <v>19</v>
      </c>
      <c r="P162" s="5">
        <v>139</v>
      </c>
      <c r="Q162" s="5">
        <v>20</v>
      </c>
      <c r="R162" s="5" t="s">
        <v>28</v>
      </c>
      <c r="S162" s="5" t="s">
        <v>29</v>
      </c>
      <c r="T162" s="5" t="s">
        <v>155</v>
      </c>
      <c r="U162" s="7" t="s">
        <v>118</v>
      </c>
    </row>
    <row r="163" spans="1:21" x14ac:dyDescent="0.25">
      <c r="A163" s="4">
        <v>1082634</v>
      </c>
      <c r="B163" s="5" t="s">
        <v>47</v>
      </c>
      <c r="C163" s="6">
        <v>42861</v>
      </c>
      <c r="D163" s="5" t="s">
        <v>352</v>
      </c>
      <c r="E163" s="5" t="s">
        <v>89</v>
      </c>
      <c r="F163" s="5" t="s">
        <v>48</v>
      </c>
      <c r="G163" s="5" t="s">
        <v>21</v>
      </c>
      <c r="H163" s="5" t="s">
        <v>89</v>
      </c>
      <c r="I163" s="5" t="s">
        <v>121</v>
      </c>
      <c r="J163" s="5" t="s">
        <v>171</v>
      </c>
      <c r="K163" s="5" t="s">
        <v>121</v>
      </c>
      <c r="L163" s="5" t="s">
        <v>26</v>
      </c>
      <c r="M163" s="5" t="s">
        <v>171</v>
      </c>
      <c r="N163" s="5" t="s">
        <v>27</v>
      </c>
      <c r="O163" s="5">
        <v>12</v>
      </c>
      <c r="P163" s="5">
        <v>149</v>
      </c>
      <c r="Q163" s="5">
        <v>20</v>
      </c>
      <c r="R163" s="5" t="s">
        <v>28</v>
      </c>
      <c r="S163" s="5" t="s">
        <v>29</v>
      </c>
      <c r="T163" s="5" t="s">
        <v>186</v>
      </c>
      <c r="U163" s="7" t="s">
        <v>105</v>
      </c>
    </row>
    <row r="164" spans="1:21" x14ac:dyDescent="0.25">
      <c r="A164" s="4">
        <v>1082635</v>
      </c>
      <c r="B164" s="5" t="s">
        <v>35</v>
      </c>
      <c r="C164" s="6">
        <v>42861</v>
      </c>
      <c r="D164" s="5" t="s">
        <v>352</v>
      </c>
      <c r="E164" s="5" t="s">
        <v>153</v>
      </c>
      <c r="F164" s="5" t="s">
        <v>36</v>
      </c>
      <c r="G164" s="5" t="s">
        <v>21</v>
      </c>
      <c r="H164" s="5" t="s">
        <v>153</v>
      </c>
      <c r="I164" s="5" t="s">
        <v>229</v>
      </c>
      <c r="J164" s="5" t="s">
        <v>41</v>
      </c>
      <c r="K164" s="5" t="s">
        <v>229</v>
      </c>
      <c r="L164" s="5" t="s">
        <v>26</v>
      </c>
      <c r="M164" s="5" t="s">
        <v>41</v>
      </c>
      <c r="N164" s="5" t="s">
        <v>27</v>
      </c>
      <c r="O164" s="5">
        <v>146</v>
      </c>
      <c r="P164" s="5">
        <v>213</v>
      </c>
      <c r="Q164" s="5">
        <v>20</v>
      </c>
      <c r="R164" s="5" t="s">
        <v>28</v>
      </c>
      <c r="S164" s="5" t="s">
        <v>29</v>
      </c>
      <c r="T164" s="5" t="s">
        <v>174</v>
      </c>
      <c r="U164" s="7" t="s">
        <v>126</v>
      </c>
    </row>
    <row r="165" spans="1:21" x14ac:dyDescent="0.25">
      <c r="A165" s="4">
        <v>1082636</v>
      </c>
      <c r="B165" s="5" t="s">
        <v>20</v>
      </c>
      <c r="C165" s="6">
        <v>42862</v>
      </c>
      <c r="D165" s="5" t="s">
        <v>352</v>
      </c>
      <c r="E165" s="5" t="s">
        <v>115</v>
      </c>
      <c r="F165" s="5" t="s">
        <v>23</v>
      </c>
      <c r="G165" s="5" t="s">
        <v>21</v>
      </c>
      <c r="H165" s="5" t="s">
        <v>115</v>
      </c>
      <c r="I165" s="5" t="s">
        <v>24</v>
      </c>
      <c r="J165" s="5" t="s">
        <v>25</v>
      </c>
      <c r="K165" s="5" t="s">
        <v>25</v>
      </c>
      <c r="L165" s="5" t="s">
        <v>26</v>
      </c>
      <c r="M165" s="5" t="s">
        <v>25</v>
      </c>
      <c r="N165" s="5" t="s">
        <v>38</v>
      </c>
      <c r="O165" s="5">
        <v>6</v>
      </c>
      <c r="P165" s="5">
        <v>159</v>
      </c>
      <c r="Q165" s="5">
        <v>20</v>
      </c>
      <c r="R165" s="5" t="s">
        <v>28</v>
      </c>
      <c r="S165" s="5" t="s">
        <v>29</v>
      </c>
      <c r="T165" s="5" t="s">
        <v>183</v>
      </c>
      <c r="U165" s="7" t="s">
        <v>118</v>
      </c>
    </row>
    <row r="166" spans="1:21" x14ac:dyDescent="0.25">
      <c r="A166" s="4">
        <v>1082637</v>
      </c>
      <c r="B166" s="5" t="s">
        <v>30</v>
      </c>
      <c r="C166" s="6">
        <v>42862</v>
      </c>
      <c r="D166" s="5" t="s">
        <v>352</v>
      </c>
      <c r="E166" s="5" t="s">
        <v>73</v>
      </c>
      <c r="F166" s="5" t="s">
        <v>172</v>
      </c>
      <c r="G166" s="5" t="s">
        <v>21</v>
      </c>
      <c r="H166" s="5" t="s">
        <v>73</v>
      </c>
      <c r="I166" s="5" t="s">
        <v>32</v>
      </c>
      <c r="J166" s="5" t="s">
        <v>277</v>
      </c>
      <c r="K166" s="5" t="s">
        <v>277</v>
      </c>
      <c r="L166" s="5" t="s">
        <v>26</v>
      </c>
      <c r="M166" s="5" t="s">
        <v>277</v>
      </c>
      <c r="N166" s="5" t="s">
        <v>38</v>
      </c>
      <c r="O166" s="5">
        <v>6</v>
      </c>
      <c r="P166" s="5">
        <v>190</v>
      </c>
      <c r="Q166" s="5">
        <v>20</v>
      </c>
      <c r="R166" s="5" t="s">
        <v>28</v>
      </c>
      <c r="S166" s="5" t="s">
        <v>29</v>
      </c>
      <c r="T166" s="5" t="s">
        <v>178</v>
      </c>
      <c r="U166" s="7" t="s">
        <v>173</v>
      </c>
    </row>
    <row r="167" spans="1:21" x14ac:dyDescent="0.25">
      <c r="A167" s="4">
        <v>1082638</v>
      </c>
      <c r="B167" s="5" t="s">
        <v>47</v>
      </c>
      <c r="C167" s="6">
        <v>42863</v>
      </c>
      <c r="D167" s="5" t="s">
        <v>352</v>
      </c>
      <c r="E167" s="5" t="s">
        <v>98</v>
      </c>
      <c r="F167" s="5" t="s">
        <v>48</v>
      </c>
      <c r="G167" s="5" t="s">
        <v>21</v>
      </c>
      <c r="H167" s="5" t="s">
        <v>98</v>
      </c>
      <c r="I167" s="5" t="s">
        <v>121</v>
      </c>
      <c r="J167" s="5" t="s">
        <v>41</v>
      </c>
      <c r="K167" s="5" t="s">
        <v>41</v>
      </c>
      <c r="L167" s="5" t="s">
        <v>34</v>
      </c>
      <c r="M167" s="5" t="s">
        <v>121</v>
      </c>
      <c r="N167" s="5" t="s">
        <v>38</v>
      </c>
      <c r="O167" s="5">
        <v>7</v>
      </c>
      <c r="P167" s="5">
        <v>139</v>
      </c>
      <c r="Q167" s="5">
        <v>20</v>
      </c>
      <c r="R167" s="5" t="s">
        <v>28</v>
      </c>
      <c r="S167" s="5" t="s">
        <v>29</v>
      </c>
      <c r="T167" s="5" t="s">
        <v>186</v>
      </c>
      <c r="U167" s="7" t="s">
        <v>63</v>
      </c>
    </row>
    <row r="168" spans="1:21" x14ac:dyDescent="0.25">
      <c r="A168" s="4">
        <v>1082639</v>
      </c>
      <c r="B168" s="5" t="s">
        <v>30</v>
      </c>
      <c r="C168" s="6">
        <v>42864</v>
      </c>
      <c r="D168" s="5" t="s">
        <v>352</v>
      </c>
      <c r="E168" s="5" t="s">
        <v>145</v>
      </c>
      <c r="F168" s="5" t="s">
        <v>172</v>
      </c>
      <c r="G168" s="5" t="s">
        <v>21</v>
      </c>
      <c r="H168" s="5" t="s">
        <v>145</v>
      </c>
      <c r="I168" s="5" t="s">
        <v>32</v>
      </c>
      <c r="J168" s="5" t="s">
        <v>25</v>
      </c>
      <c r="K168" s="5" t="s">
        <v>25</v>
      </c>
      <c r="L168" s="5" t="s">
        <v>26</v>
      </c>
      <c r="M168" s="5" t="s">
        <v>32</v>
      </c>
      <c r="N168" s="5" t="s">
        <v>27</v>
      </c>
      <c r="O168" s="5">
        <v>14</v>
      </c>
      <c r="P168" s="5">
        <v>168</v>
      </c>
      <c r="Q168" s="5">
        <v>20</v>
      </c>
      <c r="R168" s="5" t="s">
        <v>28</v>
      </c>
      <c r="S168" s="5" t="s">
        <v>29</v>
      </c>
      <c r="T168" s="5" t="s">
        <v>178</v>
      </c>
      <c r="U168" s="7" t="s">
        <v>70</v>
      </c>
    </row>
    <row r="169" spans="1:21" x14ac:dyDescent="0.25">
      <c r="A169" s="4">
        <v>1082640</v>
      </c>
      <c r="B169" s="5" t="s">
        <v>192</v>
      </c>
      <c r="C169" s="6">
        <v>42865</v>
      </c>
      <c r="D169" s="5" t="s">
        <v>352</v>
      </c>
      <c r="E169" s="5" t="s">
        <v>161</v>
      </c>
      <c r="F169" s="5" t="s">
        <v>193</v>
      </c>
      <c r="G169" s="5" t="s">
        <v>21</v>
      </c>
      <c r="H169" s="5" t="s">
        <v>161</v>
      </c>
      <c r="I169" s="5" t="s">
        <v>277</v>
      </c>
      <c r="J169" s="5" t="s">
        <v>229</v>
      </c>
      <c r="K169" s="5" t="s">
        <v>229</v>
      </c>
      <c r="L169" s="5" t="s">
        <v>26</v>
      </c>
      <c r="M169" s="5" t="s">
        <v>229</v>
      </c>
      <c r="N169" s="5" t="s">
        <v>38</v>
      </c>
      <c r="O169" s="5">
        <v>2</v>
      </c>
      <c r="P169" s="5">
        <v>196</v>
      </c>
      <c r="Q169" s="5">
        <v>20</v>
      </c>
      <c r="R169" s="5" t="s">
        <v>28</v>
      </c>
      <c r="S169" s="5" t="s">
        <v>29</v>
      </c>
      <c r="T169" s="5" t="s">
        <v>202</v>
      </c>
      <c r="U169" s="7" t="s">
        <v>105</v>
      </c>
    </row>
    <row r="170" spans="1:21" x14ac:dyDescent="0.25">
      <c r="A170" s="4">
        <v>1082641</v>
      </c>
      <c r="B170" s="5" t="s">
        <v>39</v>
      </c>
      <c r="C170" s="6">
        <v>42866</v>
      </c>
      <c r="D170" s="5" t="s">
        <v>352</v>
      </c>
      <c r="E170" s="5" t="s">
        <v>97</v>
      </c>
      <c r="F170" s="5" t="s">
        <v>40</v>
      </c>
      <c r="G170" s="5" t="s">
        <v>21</v>
      </c>
      <c r="H170" s="5" t="s">
        <v>97</v>
      </c>
      <c r="I170" s="5" t="s">
        <v>41</v>
      </c>
      <c r="J170" s="5" t="s">
        <v>32</v>
      </c>
      <c r="K170" s="5" t="s">
        <v>41</v>
      </c>
      <c r="L170" s="5" t="s">
        <v>26</v>
      </c>
      <c r="M170" s="5" t="s">
        <v>32</v>
      </c>
      <c r="N170" s="5" t="s">
        <v>27</v>
      </c>
      <c r="O170" s="5">
        <v>7</v>
      </c>
      <c r="P170" s="5">
        <v>231</v>
      </c>
      <c r="Q170" s="5">
        <v>20</v>
      </c>
      <c r="R170" s="5" t="s">
        <v>28</v>
      </c>
      <c r="S170" s="5" t="s">
        <v>29</v>
      </c>
      <c r="T170" s="5" t="s">
        <v>198</v>
      </c>
      <c r="U170" s="7" t="s">
        <v>178</v>
      </c>
    </row>
    <row r="171" spans="1:21" x14ac:dyDescent="0.25">
      <c r="A171" s="4">
        <v>1082642</v>
      </c>
      <c r="B171" s="5" t="s">
        <v>35</v>
      </c>
      <c r="C171" s="6">
        <v>42867</v>
      </c>
      <c r="D171" s="5" t="s">
        <v>352</v>
      </c>
      <c r="E171" s="5" t="s">
        <v>149</v>
      </c>
      <c r="F171" s="5" t="s">
        <v>36</v>
      </c>
      <c r="G171" s="5" t="s">
        <v>21</v>
      </c>
      <c r="H171" s="5" t="s">
        <v>149</v>
      </c>
      <c r="I171" s="5" t="s">
        <v>229</v>
      </c>
      <c r="J171" s="5" t="s">
        <v>171</v>
      </c>
      <c r="K171" s="5" t="s">
        <v>229</v>
      </c>
      <c r="L171" s="5" t="s">
        <v>34</v>
      </c>
      <c r="M171" s="5" t="s">
        <v>229</v>
      </c>
      <c r="N171" s="5" t="s">
        <v>27</v>
      </c>
      <c r="O171" s="5">
        <v>7</v>
      </c>
      <c r="P171" s="5">
        <v>169</v>
      </c>
      <c r="Q171" s="5">
        <v>20</v>
      </c>
      <c r="R171" s="5" t="s">
        <v>28</v>
      </c>
      <c r="S171" s="5" t="s">
        <v>29</v>
      </c>
      <c r="T171" s="5" t="s">
        <v>186</v>
      </c>
      <c r="U171" s="7" t="s">
        <v>126</v>
      </c>
    </row>
    <row r="172" spans="1:21" x14ac:dyDescent="0.25">
      <c r="A172" s="4">
        <v>1082643</v>
      </c>
      <c r="B172" s="5" t="s">
        <v>192</v>
      </c>
      <c r="C172" s="6">
        <v>42868</v>
      </c>
      <c r="D172" s="5" t="s">
        <v>352</v>
      </c>
      <c r="E172" s="5" t="s">
        <v>209</v>
      </c>
      <c r="F172" s="5" t="s">
        <v>193</v>
      </c>
      <c r="G172" s="5" t="s">
        <v>21</v>
      </c>
      <c r="H172" s="5" t="s">
        <v>209</v>
      </c>
      <c r="I172" s="5" t="s">
        <v>277</v>
      </c>
      <c r="J172" s="5" t="s">
        <v>121</v>
      </c>
      <c r="K172" s="5" t="s">
        <v>121</v>
      </c>
      <c r="L172" s="5" t="s">
        <v>26</v>
      </c>
      <c r="M172" s="5" t="s">
        <v>121</v>
      </c>
      <c r="N172" s="5" t="s">
        <v>38</v>
      </c>
      <c r="O172" s="5">
        <v>8</v>
      </c>
      <c r="P172" s="5">
        <v>155</v>
      </c>
      <c r="Q172" s="5">
        <v>20</v>
      </c>
      <c r="R172" s="5" t="s">
        <v>28</v>
      </c>
      <c r="S172" s="5" t="s">
        <v>29</v>
      </c>
      <c r="T172" s="5" t="s">
        <v>105</v>
      </c>
      <c r="U172" s="7" t="s">
        <v>174</v>
      </c>
    </row>
    <row r="173" spans="1:21" x14ac:dyDescent="0.25">
      <c r="A173" s="4">
        <v>1082644</v>
      </c>
      <c r="B173" s="5" t="s">
        <v>42</v>
      </c>
      <c r="C173" s="6">
        <v>42868</v>
      </c>
      <c r="D173" s="5" t="s">
        <v>352</v>
      </c>
      <c r="E173" s="5" t="s">
        <v>84</v>
      </c>
      <c r="F173" s="5" t="s">
        <v>43</v>
      </c>
      <c r="G173" s="5" t="s">
        <v>21</v>
      </c>
      <c r="H173" s="5" t="s">
        <v>84</v>
      </c>
      <c r="I173" s="5" t="s">
        <v>25</v>
      </c>
      <c r="J173" s="5" t="s">
        <v>41</v>
      </c>
      <c r="K173" s="5" t="s">
        <v>25</v>
      </c>
      <c r="L173" s="5" t="s">
        <v>26</v>
      </c>
      <c r="M173" s="5" t="s">
        <v>41</v>
      </c>
      <c r="N173" s="5" t="s">
        <v>27</v>
      </c>
      <c r="O173" s="5">
        <v>9</v>
      </c>
      <c r="P173" s="5">
        <v>174</v>
      </c>
      <c r="Q173" s="5">
        <v>20</v>
      </c>
      <c r="R173" s="5" t="s">
        <v>28</v>
      </c>
      <c r="S173" s="5" t="s">
        <v>29</v>
      </c>
      <c r="T173" s="5" t="s">
        <v>178</v>
      </c>
      <c r="U173" s="7" t="s">
        <v>70</v>
      </c>
    </row>
    <row r="174" spans="1:21" x14ac:dyDescent="0.25">
      <c r="A174" s="4">
        <v>1082645</v>
      </c>
      <c r="B174" s="5" t="s">
        <v>111</v>
      </c>
      <c r="C174" s="6">
        <v>42869</v>
      </c>
      <c r="D174" s="5" t="s">
        <v>352</v>
      </c>
      <c r="E174" s="5" t="s">
        <v>89</v>
      </c>
      <c r="F174" s="5" t="s">
        <v>127</v>
      </c>
      <c r="G174" s="5" t="s">
        <v>21</v>
      </c>
      <c r="H174" s="5" t="s">
        <v>89</v>
      </c>
      <c r="I174" s="5" t="s">
        <v>171</v>
      </c>
      <c r="J174" s="5" t="s">
        <v>32</v>
      </c>
      <c r="K174" s="5" t="s">
        <v>171</v>
      </c>
      <c r="L174" s="5" t="s">
        <v>26</v>
      </c>
      <c r="M174" s="5" t="s">
        <v>171</v>
      </c>
      <c r="N174" s="5" t="s">
        <v>38</v>
      </c>
      <c r="O174" s="5">
        <v>9</v>
      </c>
      <c r="P174" s="5">
        <v>74</v>
      </c>
      <c r="Q174" s="5">
        <v>20</v>
      </c>
      <c r="R174" s="5" t="s">
        <v>28</v>
      </c>
      <c r="S174" s="5" t="s">
        <v>29</v>
      </c>
      <c r="T174" s="5" t="s">
        <v>183</v>
      </c>
      <c r="U174" s="7" t="s">
        <v>198</v>
      </c>
    </row>
    <row r="175" spans="1:21" x14ac:dyDescent="0.25">
      <c r="A175" s="4">
        <v>1082646</v>
      </c>
      <c r="B175" s="5" t="s">
        <v>35</v>
      </c>
      <c r="C175" s="6">
        <v>42869</v>
      </c>
      <c r="D175" s="5" t="s">
        <v>352</v>
      </c>
      <c r="E175" s="5" t="s">
        <v>210</v>
      </c>
      <c r="F175" s="5" t="s">
        <v>36</v>
      </c>
      <c r="G175" s="5" t="s">
        <v>21</v>
      </c>
      <c r="H175" s="5" t="s">
        <v>210</v>
      </c>
      <c r="I175" s="5" t="s">
        <v>229</v>
      </c>
      <c r="J175" s="5" t="s">
        <v>24</v>
      </c>
      <c r="K175" s="5" t="s">
        <v>24</v>
      </c>
      <c r="L175" s="5" t="s">
        <v>34</v>
      </c>
      <c r="M175" s="5" t="s">
        <v>24</v>
      </c>
      <c r="N175" s="5" t="s">
        <v>27</v>
      </c>
      <c r="O175" s="5">
        <v>10</v>
      </c>
      <c r="P175" s="5">
        <v>162</v>
      </c>
      <c r="Q175" s="5">
        <v>20</v>
      </c>
      <c r="R175" s="5" t="s">
        <v>28</v>
      </c>
      <c r="S175" s="5" t="s">
        <v>29</v>
      </c>
      <c r="T175" s="5" t="s">
        <v>126</v>
      </c>
      <c r="U175" s="7" t="s">
        <v>118</v>
      </c>
    </row>
    <row r="176" spans="1:21" x14ac:dyDescent="0.25">
      <c r="A176" s="4">
        <v>1082647</v>
      </c>
      <c r="B176" s="5" t="s">
        <v>39</v>
      </c>
      <c r="C176" s="6">
        <v>42871</v>
      </c>
      <c r="D176" s="5" t="s">
        <v>352</v>
      </c>
      <c r="E176" s="5" t="s">
        <v>211</v>
      </c>
      <c r="F176" s="5" t="s">
        <v>40</v>
      </c>
      <c r="G176" s="5" t="s">
        <v>100</v>
      </c>
      <c r="H176" s="5" t="s">
        <v>211</v>
      </c>
      <c r="I176" s="5" t="s">
        <v>41</v>
      </c>
      <c r="J176" s="5" t="s">
        <v>171</v>
      </c>
      <c r="K176" s="5" t="s">
        <v>41</v>
      </c>
      <c r="L176" s="5" t="s">
        <v>26</v>
      </c>
      <c r="M176" s="5" t="s">
        <v>171</v>
      </c>
      <c r="N176" s="5" t="s">
        <v>27</v>
      </c>
      <c r="O176" s="5">
        <v>20</v>
      </c>
      <c r="P176" s="5">
        <v>163</v>
      </c>
      <c r="Q176" s="5">
        <v>20</v>
      </c>
      <c r="R176" s="5" t="s">
        <v>28</v>
      </c>
      <c r="S176" s="5" t="s">
        <v>29</v>
      </c>
      <c r="T176" s="5" t="s">
        <v>70</v>
      </c>
      <c r="U176" s="7" t="s">
        <v>118</v>
      </c>
    </row>
    <row r="177" spans="1:21" x14ac:dyDescent="0.25">
      <c r="A177" s="4">
        <v>1082648</v>
      </c>
      <c r="B177" s="5" t="s">
        <v>20</v>
      </c>
      <c r="C177" s="6">
        <v>42872</v>
      </c>
      <c r="D177" s="5" t="s">
        <v>352</v>
      </c>
      <c r="E177" s="5" t="s">
        <v>165</v>
      </c>
      <c r="F177" s="5" t="s">
        <v>23</v>
      </c>
      <c r="G177" s="5" t="s">
        <v>136</v>
      </c>
      <c r="H177" s="5" t="s">
        <v>165</v>
      </c>
      <c r="I177" s="5" t="s">
        <v>121</v>
      </c>
      <c r="J177" s="5" t="s">
        <v>25</v>
      </c>
      <c r="K177" s="5" t="s">
        <v>25</v>
      </c>
      <c r="L177" s="5" t="s">
        <v>26</v>
      </c>
      <c r="M177" s="5" t="s">
        <v>25</v>
      </c>
      <c r="N177" s="5" t="s">
        <v>38</v>
      </c>
      <c r="O177" s="5">
        <v>7</v>
      </c>
      <c r="P177" s="5">
        <v>48</v>
      </c>
      <c r="Q177" s="5">
        <v>6</v>
      </c>
      <c r="R177" s="5" t="s">
        <v>28</v>
      </c>
      <c r="S177" s="5" t="s">
        <v>57</v>
      </c>
      <c r="T177" s="5" t="s">
        <v>105</v>
      </c>
      <c r="U177" s="7" t="s">
        <v>174</v>
      </c>
    </row>
    <row r="178" spans="1:21" x14ac:dyDescent="0.25">
      <c r="A178" s="4">
        <v>1082649</v>
      </c>
      <c r="B178" s="5" t="s">
        <v>20</v>
      </c>
      <c r="C178" s="6">
        <v>42874</v>
      </c>
      <c r="D178" s="5" t="s">
        <v>352</v>
      </c>
      <c r="E178" s="5" t="s">
        <v>212</v>
      </c>
      <c r="F178" s="5" t="s">
        <v>23</v>
      </c>
      <c r="G178" s="5" t="s">
        <v>102</v>
      </c>
      <c r="H178" s="5" t="s">
        <v>212</v>
      </c>
      <c r="I178" s="5" t="s">
        <v>41</v>
      </c>
      <c r="J178" s="5" t="s">
        <v>25</v>
      </c>
      <c r="K178" s="5" t="s">
        <v>41</v>
      </c>
      <c r="L178" s="5" t="s">
        <v>26</v>
      </c>
      <c r="M178" s="5" t="s">
        <v>41</v>
      </c>
      <c r="N178" s="5" t="s">
        <v>38</v>
      </c>
      <c r="O178" s="5">
        <v>6</v>
      </c>
      <c r="P178" s="5">
        <v>108</v>
      </c>
      <c r="Q178" s="5">
        <v>20</v>
      </c>
      <c r="R178" s="5" t="s">
        <v>28</v>
      </c>
      <c r="S178" s="5" t="s">
        <v>29</v>
      </c>
      <c r="T178" s="5" t="s">
        <v>132</v>
      </c>
      <c r="U178" s="7" t="s">
        <v>174</v>
      </c>
    </row>
    <row r="179" spans="1:21" x14ac:dyDescent="0.25">
      <c r="A179" s="4">
        <v>1082650</v>
      </c>
      <c r="B179" s="5" t="s">
        <v>47</v>
      </c>
      <c r="C179" s="6">
        <v>42876</v>
      </c>
      <c r="D179" s="5" t="s">
        <v>352</v>
      </c>
      <c r="E179" s="5" t="s">
        <v>190</v>
      </c>
      <c r="F179" s="5" t="s">
        <v>48</v>
      </c>
      <c r="G179" s="5" t="s">
        <v>61</v>
      </c>
      <c r="H179" s="5" t="s">
        <v>190</v>
      </c>
      <c r="I179" s="5" t="s">
        <v>41</v>
      </c>
      <c r="J179" s="5" t="s">
        <v>171</v>
      </c>
      <c r="K179" s="5" t="s">
        <v>41</v>
      </c>
      <c r="L179" s="5" t="s">
        <v>34</v>
      </c>
      <c r="M179" s="5" t="s">
        <v>41</v>
      </c>
      <c r="N179" s="5" t="s">
        <v>27</v>
      </c>
      <c r="O179" s="5">
        <v>1</v>
      </c>
      <c r="P179" s="5">
        <v>130</v>
      </c>
      <c r="Q179" s="5">
        <v>20</v>
      </c>
      <c r="R179" s="5" t="s">
        <v>28</v>
      </c>
      <c r="S179" s="5" t="s">
        <v>29</v>
      </c>
      <c r="T179" s="5" t="s">
        <v>132</v>
      </c>
      <c r="U179" s="7" t="s">
        <v>70</v>
      </c>
    </row>
    <row r="180" spans="1:21" x14ac:dyDescent="0.25">
      <c r="A180" s="4">
        <v>1136561</v>
      </c>
      <c r="B180" s="5" t="s">
        <v>39</v>
      </c>
      <c r="C180" s="6">
        <v>43197</v>
      </c>
      <c r="D180" s="5" t="s">
        <v>353</v>
      </c>
      <c r="E180" s="5" t="s">
        <v>58</v>
      </c>
      <c r="F180" s="5" t="s">
        <v>40</v>
      </c>
      <c r="G180" s="5" t="s">
        <v>21</v>
      </c>
      <c r="H180" s="5" t="s">
        <v>58</v>
      </c>
      <c r="I180" s="5" t="s">
        <v>41</v>
      </c>
      <c r="J180" s="5" t="s">
        <v>33</v>
      </c>
      <c r="K180" s="5" t="s">
        <v>33</v>
      </c>
      <c r="L180" s="5" t="s">
        <v>26</v>
      </c>
      <c r="M180" s="5" t="s">
        <v>33</v>
      </c>
      <c r="N180" s="5" t="s">
        <v>38</v>
      </c>
      <c r="O180" s="5">
        <v>1</v>
      </c>
      <c r="P180" s="5">
        <v>166</v>
      </c>
      <c r="Q180" s="5">
        <v>20</v>
      </c>
      <c r="R180" s="5" t="s">
        <v>28</v>
      </c>
      <c r="S180" s="5" t="s">
        <v>29</v>
      </c>
      <c r="T180" s="5" t="s">
        <v>155</v>
      </c>
      <c r="U180" s="7" t="s">
        <v>178</v>
      </c>
    </row>
    <row r="181" spans="1:21" x14ac:dyDescent="0.25">
      <c r="A181" s="4">
        <v>1136562</v>
      </c>
      <c r="B181" s="5" t="s">
        <v>30</v>
      </c>
      <c r="C181" s="6">
        <v>43198</v>
      </c>
      <c r="D181" s="5" t="s">
        <v>353</v>
      </c>
      <c r="E181" s="5" t="s">
        <v>213</v>
      </c>
      <c r="F181" s="5" t="s">
        <v>214</v>
      </c>
      <c r="G181" s="5" t="s">
        <v>21</v>
      </c>
      <c r="H181" s="5" t="s">
        <v>213</v>
      </c>
      <c r="I181" s="5" t="s">
        <v>229</v>
      </c>
      <c r="J181" s="5" t="s">
        <v>32</v>
      </c>
      <c r="K181" s="5" t="s">
        <v>32</v>
      </c>
      <c r="L181" s="5" t="s">
        <v>26</v>
      </c>
      <c r="M181" s="5" t="s">
        <v>32</v>
      </c>
      <c r="N181" s="5" t="s">
        <v>38</v>
      </c>
      <c r="O181" s="5">
        <v>6</v>
      </c>
      <c r="P181" s="5">
        <v>167</v>
      </c>
      <c r="Q181" s="5">
        <v>20</v>
      </c>
      <c r="R181" s="5" t="s">
        <v>28</v>
      </c>
      <c r="S181" s="5" t="s">
        <v>29</v>
      </c>
      <c r="T181" s="5" t="s">
        <v>186</v>
      </c>
      <c r="U181" s="7" t="s">
        <v>91</v>
      </c>
    </row>
    <row r="182" spans="1:21" x14ac:dyDescent="0.25">
      <c r="A182" s="4">
        <v>1136563</v>
      </c>
      <c r="B182" s="5" t="s">
        <v>42</v>
      </c>
      <c r="C182" s="6">
        <v>43198</v>
      </c>
      <c r="D182" s="5" t="s">
        <v>353</v>
      </c>
      <c r="E182" s="5" t="s">
        <v>115</v>
      </c>
      <c r="F182" s="5" t="s">
        <v>43</v>
      </c>
      <c r="G182" s="5" t="s">
        <v>21</v>
      </c>
      <c r="H182" s="5" t="s">
        <v>115</v>
      </c>
      <c r="I182" s="5" t="s">
        <v>24</v>
      </c>
      <c r="J182" s="5" t="s">
        <v>25</v>
      </c>
      <c r="K182" s="5" t="s">
        <v>25</v>
      </c>
      <c r="L182" s="5" t="s">
        <v>26</v>
      </c>
      <c r="M182" s="5" t="s">
        <v>25</v>
      </c>
      <c r="N182" s="5" t="s">
        <v>38</v>
      </c>
      <c r="O182" s="5">
        <v>4</v>
      </c>
      <c r="P182" s="5">
        <v>177</v>
      </c>
      <c r="Q182" s="5">
        <v>20</v>
      </c>
      <c r="R182" s="5" t="s">
        <v>28</v>
      </c>
      <c r="S182" s="5" t="s">
        <v>29</v>
      </c>
      <c r="T182" s="5" t="s">
        <v>198</v>
      </c>
      <c r="U182" s="7" t="s">
        <v>118</v>
      </c>
    </row>
    <row r="183" spans="1:21" x14ac:dyDescent="0.25">
      <c r="A183" s="4">
        <v>1136564</v>
      </c>
      <c r="B183" s="5" t="s">
        <v>47</v>
      </c>
      <c r="C183" s="6">
        <v>43199</v>
      </c>
      <c r="D183" s="5" t="s">
        <v>353</v>
      </c>
      <c r="E183" s="5" t="s">
        <v>98</v>
      </c>
      <c r="F183" s="5" t="s">
        <v>215</v>
      </c>
      <c r="G183" s="5" t="s">
        <v>21</v>
      </c>
      <c r="H183" s="5" t="s">
        <v>98</v>
      </c>
      <c r="I183" s="5" t="s">
        <v>37</v>
      </c>
      <c r="J183" s="5" t="s">
        <v>121</v>
      </c>
      <c r="K183" s="5" t="s">
        <v>121</v>
      </c>
      <c r="L183" s="5" t="s">
        <v>26</v>
      </c>
      <c r="M183" s="5" t="s">
        <v>121</v>
      </c>
      <c r="N183" s="5" t="s">
        <v>38</v>
      </c>
      <c r="O183" s="5">
        <v>9</v>
      </c>
      <c r="P183" s="5">
        <v>126</v>
      </c>
      <c r="Q183" s="5">
        <v>20</v>
      </c>
      <c r="R183" s="5" t="s">
        <v>28</v>
      </c>
      <c r="S183" s="5" t="s">
        <v>29</v>
      </c>
      <c r="T183" s="5" t="s">
        <v>132</v>
      </c>
      <c r="U183" s="7" t="s">
        <v>110</v>
      </c>
    </row>
    <row r="184" spans="1:21" x14ac:dyDescent="0.25">
      <c r="A184" s="4">
        <v>1136565</v>
      </c>
      <c r="B184" s="5" t="s">
        <v>49</v>
      </c>
      <c r="C184" s="6">
        <v>43200</v>
      </c>
      <c r="D184" s="5" t="s">
        <v>353</v>
      </c>
      <c r="E184" s="5" t="s">
        <v>216</v>
      </c>
      <c r="F184" s="5" t="s">
        <v>217</v>
      </c>
      <c r="G184" s="5" t="s">
        <v>21</v>
      </c>
      <c r="H184" s="5" t="s">
        <v>216</v>
      </c>
      <c r="I184" s="5" t="s">
        <v>25</v>
      </c>
      <c r="J184" s="5" t="s">
        <v>33</v>
      </c>
      <c r="K184" s="5" t="s">
        <v>33</v>
      </c>
      <c r="L184" s="5" t="s">
        <v>26</v>
      </c>
      <c r="M184" s="5" t="s">
        <v>33</v>
      </c>
      <c r="N184" s="5" t="s">
        <v>38</v>
      </c>
      <c r="O184" s="5">
        <v>5</v>
      </c>
      <c r="P184" s="5">
        <v>203</v>
      </c>
      <c r="Q184" s="5">
        <v>20</v>
      </c>
      <c r="R184" s="5" t="s">
        <v>28</v>
      </c>
      <c r="S184" s="5" t="s">
        <v>29</v>
      </c>
      <c r="T184" s="5" t="s">
        <v>105</v>
      </c>
      <c r="U184" s="7" t="s">
        <v>155</v>
      </c>
    </row>
    <row r="185" spans="1:21" x14ac:dyDescent="0.25">
      <c r="A185" s="4">
        <v>1136566</v>
      </c>
      <c r="B185" s="5" t="s">
        <v>44</v>
      </c>
      <c r="C185" s="6">
        <v>43201</v>
      </c>
      <c r="D185" s="5" t="s">
        <v>353</v>
      </c>
      <c r="E185" s="5" t="s">
        <v>131</v>
      </c>
      <c r="F185" s="5" t="s">
        <v>46</v>
      </c>
      <c r="G185" s="5" t="s">
        <v>21</v>
      </c>
      <c r="H185" s="5" t="s">
        <v>131</v>
      </c>
      <c r="I185" s="5" t="s">
        <v>37</v>
      </c>
      <c r="J185" s="5" t="s">
        <v>229</v>
      </c>
      <c r="K185" s="5" t="s">
        <v>229</v>
      </c>
      <c r="L185" s="5" t="s">
        <v>26</v>
      </c>
      <c r="M185" s="5" t="s">
        <v>37</v>
      </c>
      <c r="N185" s="5" t="s">
        <v>27</v>
      </c>
      <c r="O185" s="5">
        <v>10</v>
      </c>
      <c r="P185" s="5">
        <v>71</v>
      </c>
      <c r="Q185" s="5">
        <v>6</v>
      </c>
      <c r="R185" s="5" t="s">
        <v>28</v>
      </c>
      <c r="S185" s="5" t="s">
        <v>57</v>
      </c>
      <c r="T185" s="5" t="s">
        <v>186</v>
      </c>
      <c r="U185" s="7" t="s">
        <v>174</v>
      </c>
    </row>
    <row r="186" spans="1:21" x14ac:dyDescent="0.25">
      <c r="A186" s="4">
        <v>1136567</v>
      </c>
      <c r="B186" s="5" t="s">
        <v>47</v>
      </c>
      <c r="C186" s="6">
        <v>43202</v>
      </c>
      <c r="D186" s="5" t="s">
        <v>353</v>
      </c>
      <c r="E186" s="5" t="s">
        <v>197</v>
      </c>
      <c r="F186" s="5" t="s">
        <v>215</v>
      </c>
      <c r="G186" s="5" t="s">
        <v>21</v>
      </c>
      <c r="H186" s="5" t="s">
        <v>197</v>
      </c>
      <c r="I186" s="5" t="s">
        <v>41</v>
      </c>
      <c r="J186" s="5" t="s">
        <v>121</v>
      </c>
      <c r="K186" s="5" t="s">
        <v>121</v>
      </c>
      <c r="L186" s="5" t="s">
        <v>26</v>
      </c>
      <c r="M186" s="5" t="s">
        <v>121</v>
      </c>
      <c r="N186" s="5" t="s">
        <v>38</v>
      </c>
      <c r="O186" s="5">
        <v>1</v>
      </c>
      <c r="P186" s="5">
        <v>148</v>
      </c>
      <c r="Q186" s="5">
        <v>20</v>
      </c>
      <c r="R186" s="5" t="s">
        <v>28</v>
      </c>
      <c r="S186" s="5" t="s">
        <v>29</v>
      </c>
      <c r="T186" s="5" t="s">
        <v>126</v>
      </c>
      <c r="U186" s="7" t="s">
        <v>132</v>
      </c>
    </row>
    <row r="187" spans="1:21" x14ac:dyDescent="0.25">
      <c r="A187" s="4">
        <v>1136568</v>
      </c>
      <c r="B187" s="5" t="s">
        <v>195</v>
      </c>
      <c r="C187" s="6">
        <v>43203</v>
      </c>
      <c r="D187" s="5" t="s">
        <v>353</v>
      </c>
      <c r="E187" s="5" t="s">
        <v>120</v>
      </c>
      <c r="F187" s="5" t="s">
        <v>196</v>
      </c>
      <c r="G187" s="5" t="s">
        <v>21</v>
      </c>
      <c r="H187" s="5" t="s">
        <v>120</v>
      </c>
      <c r="I187" s="5" t="s">
        <v>32</v>
      </c>
      <c r="J187" s="5" t="s">
        <v>24</v>
      </c>
      <c r="K187" s="5" t="s">
        <v>24</v>
      </c>
      <c r="L187" s="5" t="s">
        <v>26</v>
      </c>
      <c r="M187" s="5" t="s">
        <v>24</v>
      </c>
      <c r="N187" s="5" t="s">
        <v>38</v>
      </c>
      <c r="O187" s="5">
        <v>4</v>
      </c>
      <c r="P187" s="5">
        <v>156</v>
      </c>
      <c r="Q187" s="5">
        <v>20</v>
      </c>
      <c r="R187" s="5" t="s">
        <v>28</v>
      </c>
      <c r="S187" s="5" t="s">
        <v>29</v>
      </c>
      <c r="T187" s="5" t="s">
        <v>198</v>
      </c>
      <c r="U187" s="7" t="s">
        <v>70</v>
      </c>
    </row>
    <row r="188" spans="1:21" x14ac:dyDescent="0.25">
      <c r="A188" s="4">
        <v>1136569</v>
      </c>
      <c r="B188" s="5" t="s">
        <v>39</v>
      </c>
      <c r="C188" s="6">
        <v>43204</v>
      </c>
      <c r="D188" s="5" t="s">
        <v>353</v>
      </c>
      <c r="E188" s="5" t="s">
        <v>218</v>
      </c>
      <c r="F188" s="5" t="s">
        <v>40</v>
      </c>
      <c r="G188" s="5" t="s">
        <v>21</v>
      </c>
      <c r="H188" s="5" t="s">
        <v>218</v>
      </c>
      <c r="I188" s="5" t="s">
        <v>41</v>
      </c>
      <c r="J188" s="5" t="s">
        <v>229</v>
      </c>
      <c r="K188" s="5" t="s">
        <v>229</v>
      </c>
      <c r="L188" s="5" t="s">
        <v>26</v>
      </c>
      <c r="M188" s="5" t="s">
        <v>229</v>
      </c>
      <c r="N188" s="5" t="s">
        <v>38</v>
      </c>
      <c r="O188" s="5">
        <v>7</v>
      </c>
      <c r="P188" s="5">
        <v>195</v>
      </c>
      <c r="Q188" s="5">
        <v>20</v>
      </c>
      <c r="R188" s="5" t="s">
        <v>28</v>
      </c>
      <c r="S188" s="5" t="s">
        <v>29</v>
      </c>
      <c r="T188" s="5" t="s">
        <v>186</v>
      </c>
      <c r="U188" s="7" t="s">
        <v>174</v>
      </c>
    </row>
    <row r="189" spans="1:21" x14ac:dyDescent="0.25">
      <c r="A189" s="4">
        <v>1136570</v>
      </c>
      <c r="B189" s="5" t="s">
        <v>42</v>
      </c>
      <c r="C189" s="6">
        <v>43204</v>
      </c>
      <c r="D189" s="5" t="s">
        <v>353</v>
      </c>
      <c r="E189" s="5" t="s">
        <v>219</v>
      </c>
      <c r="F189" s="5" t="s">
        <v>43</v>
      </c>
      <c r="G189" s="5" t="s">
        <v>21</v>
      </c>
      <c r="H189" s="5" t="s">
        <v>219</v>
      </c>
      <c r="I189" s="5" t="s">
        <v>25</v>
      </c>
      <c r="J189" s="5" t="s">
        <v>121</v>
      </c>
      <c r="K189" s="5" t="s">
        <v>121</v>
      </c>
      <c r="L189" s="5" t="s">
        <v>26</v>
      </c>
      <c r="M189" s="5" t="s">
        <v>121</v>
      </c>
      <c r="N189" s="5" t="s">
        <v>38</v>
      </c>
      <c r="O189" s="5">
        <v>5</v>
      </c>
      <c r="P189" s="5">
        <v>139</v>
      </c>
      <c r="Q189" s="5">
        <v>20</v>
      </c>
      <c r="R189" s="5" t="s">
        <v>28</v>
      </c>
      <c r="S189" s="5" t="s">
        <v>29</v>
      </c>
      <c r="T189" s="5" t="s">
        <v>105</v>
      </c>
      <c r="U189" s="7" t="s">
        <v>178</v>
      </c>
    </row>
    <row r="190" spans="1:21" x14ac:dyDescent="0.25">
      <c r="A190" s="4">
        <v>1136571</v>
      </c>
      <c r="B190" s="5" t="s">
        <v>195</v>
      </c>
      <c r="C190" s="6">
        <v>43205</v>
      </c>
      <c r="D190" s="5" t="s">
        <v>353</v>
      </c>
      <c r="E190" s="5" t="s">
        <v>131</v>
      </c>
      <c r="F190" s="5" t="s">
        <v>196</v>
      </c>
      <c r="G190" s="5" t="s">
        <v>21</v>
      </c>
      <c r="H190" s="5" t="s">
        <v>131</v>
      </c>
      <c r="I190" s="5" t="s">
        <v>37</v>
      </c>
      <c r="J190" s="5" t="s">
        <v>24</v>
      </c>
      <c r="K190" s="5" t="s">
        <v>24</v>
      </c>
      <c r="L190" s="5" t="s">
        <v>26</v>
      </c>
      <c r="M190" s="5" t="s">
        <v>37</v>
      </c>
      <c r="N190" s="5" t="s">
        <v>27</v>
      </c>
      <c r="O190" s="5">
        <v>19</v>
      </c>
      <c r="P190" s="5">
        <v>218</v>
      </c>
      <c r="Q190" s="5">
        <v>20</v>
      </c>
      <c r="R190" s="5" t="s">
        <v>28</v>
      </c>
      <c r="S190" s="5" t="s">
        <v>29</v>
      </c>
      <c r="T190" s="5" t="s">
        <v>118</v>
      </c>
      <c r="U190" s="7" t="s">
        <v>70</v>
      </c>
    </row>
    <row r="191" spans="1:21" x14ac:dyDescent="0.25">
      <c r="A191" s="4">
        <v>1136572</v>
      </c>
      <c r="B191" s="5" t="s">
        <v>30</v>
      </c>
      <c r="C191" s="6">
        <v>43205</v>
      </c>
      <c r="D191" s="5" t="s">
        <v>353</v>
      </c>
      <c r="E191" s="5" t="s">
        <v>62</v>
      </c>
      <c r="F191" s="5" t="s">
        <v>214</v>
      </c>
      <c r="G191" s="5" t="s">
        <v>21</v>
      </c>
      <c r="H191" s="5" t="s">
        <v>62</v>
      </c>
      <c r="I191" s="5" t="s">
        <v>32</v>
      </c>
      <c r="J191" s="5" t="s">
        <v>33</v>
      </c>
      <c r="K191" s="5" t="s">
        <v>33</v>
      </c>
      <c r="L191" s="5" t="s">
        <v>26</v>
      </c>
      <c r="M191" s="5" t="s">
        <v>32</v>
      </c>
      <c r="N191" s="5" t="s">
        <v>27</v>
      </c>
      <c r="O191" s="5">
        <v>4</v>
      </c>
      <c r="P191" s="5">
        <v>198</v>
      </c>
      <c r="Q191" s="5">
        <v>20</v>
      </c>
      <c r="R191" s="5" t="s">
        <v>28</v>
      </c>
      <c r="S191" s="5" t="s">
        <v>29</v>
      </c>
      <c r="T191" s="5" t="s">
        <v>126</v>
      </c>
      <c r="U191" s="7" t="s">
        <v>110</v>
      </c>
    </row>
    <row r="192" spans="1:21" x14ac:dyDescent="0.25">
      <c r="A192" s="4">
        <v>1136573</v>
      </c>
      <c r="B192" s="5" t="s">
        <v>42</v>
      </c>
      <c r="C192" s="6">
        <v>43206</v>
      </c>
      <c r="D192" s="5" t="s">
        <v>353</v>
      </c>
      <c r="E192" s="5" t="s">
        <v>199</v>
      </c>
      <c r="F192" s="5" t="s">
        <v>43</v>
      </c>
      <c r="G192" s="5" t="s">
        <v>21</v>
      </c>
      <c r="H192" s="5" t="s">
        <v>199</v>
      </c>
      <c r="I192" s="5" t="s">
        <v>25</v>
      </c>
      <c r="J192" s="5" t="s">
        <v>229</v>
      </c>
      <c r="K192" s="5" t="s">
        <v>229</v>
      </c>
      <c r="L192" s="5" t="s">
        <v>26</v>
      </c>
      <c r="M192" s="5" t="s">
        <v>25</v>
      </c>
      <c r="N192" s="5" t="s">
        <v>27</v>
      </c>
      <c r="O192" s="5">
        <v>71</v>
      </c>
      <c r="P192" s="5">
        <v>201</v>
      </c>
      <c r="Q192" s="5">
        <v>20</v>
      </c>
      <c r="R192" s="5" t="s">
        <v>28</v>
      </c>
      <c r="S192" s="5" t="s">
        <v>29</v>
      </c>
      <c r="T192" s="5" t="s">
        <v>105</v>
      </c>
      <c r="U192" s="7" t="s">
        <v>178</v>
      </c>
    </row>
    <row r="193" spans="1:21" x14ac:dyDescent="0.25">
      <c r="A193" s="4">
        <v>1136574</v>
      </c>
      <c r="B193" s="5" t="s">
        <v>39</v>
      </c>
      <c r="C193" s="6">
        <v>43207</v>
      </c>
      <c r="D193" s="5" t="s">
        <v>353</v>
      </c>
      <c r="E193" s="5" t="s">
        <v>72</v>
      </c>
      <c r="F193" s="5" t="s">
        <v>40</v>
      </c>
      <c r="G193" s="5" t="s">
        <v>21</v>
      </c>
      <c r="H193" s="5" t="s">
        <v>72</v>
      </c>
      <c r="I193" s="5" t="s">
        <v>41</v>
      </c>
      <c r="J193" s="5" t="s">
        <v>24</v>
      </c>
      <c r="K193" s="5" t="s">
        <v>24</v>
      </c>
      <c r="L193" s="5" t="s">
        <v>26</v>
      </c>
      <c r="M193" s="5" t="s">
        <v>41</v>
      </c>
      <c r="N193" s="5" t="s">
        <v>27</v>
      </c>
      <c r="O193" s="5">
        <v>46</v>
      </c>
      <c r="P193" s="5">
        <v>214</v>
      </c>
      <c r="Q193" s="5">
        <v>20</v>
      </c>
      <c r="R193" s="5" t="s">
        <v>28</v>
      </c>
      <c r="S193" s="5" t="s">
        <v>29</v>
      </c>
      <c r="T193" s="5" t="s">
        <v>174</v>
      </c>
      <c r="U193" s="7" t="s">
        <v>91</v>
      </c>
    </row>
    <row r="194" spans="1:21" x14ac:dyDescent="0.25">
      <c r="A194" s="4">
        <v>1136575</v>
      </c>
      <c r="B194" s="5" t="s">
        <v>44</v>
      </c>
      <c r="C194" s="6">
        <v>43208</v>
      </c>
      <c r="D194" s="5" t="s">
        <v>353</v>
      </c>
      <c r="E194" s="5" t="s">
        <v>199</v>
      </c>
      <c r="F194" s="5" t="s">
        <v>46</v>
      </c>
      <c r="G194" s="5" t="s">
        <v>21</v>
      </c>
      <c r="H194" s="5" t="s">
        <v>199</v>
      </c>
      <c r="I194" s="5" t="s">
        <v>37</v>
      </c>
      <c r="J194" s="5" t="s">
        <v>25</v>
      </c>
      <c r="K194" s="5" t="s">
        <v>25</v>
      </c>
      <c r="L194" s="5" t="s">
        <v>26</v>
      </c>
      <c r="M194" s="5" t="s">
        <v>25</v>
      </c>
      <c r="N194" s="5" t="s">
        <v>38</v>
      </c>
      <c r="O194" s="5">
        <v>7</v>
      </c>
      <c r="P194" s="5">
        <v>161</v>
      </c>
      <c r="Q194" s="5">
        <v>20</v>
      </c>
      <c r="R194" s="5" t="s">
        <v>28</v>
      </c>
      <c r="S194" s="5" t="s">
        <v>29</v>
      </c>
      <c r="T194" s="5" t="s">
        <v>198</v>
      </c>
      <c r="U194" s="7" t="s">
        <v>70</v>
      </c>
    </row>
    <row r="195" spans="1:21" x14ac:dyDescent="0.25">
      <c r="A195" s="4">
        <v>1136576</v>
      </c>
      <c r="B195" s="5" t="s">
        <v>30</v>
      </c>
      <c r="C195" s="6">
        <v>43209</v>
      </c>
      <c r="D195" s="5" t="s">
        <v>353</v>
      </c>
      <c r="E195" s="5" t="s">
        <v>62</v>
      </c>
      <c r="F195" s="5" t="s">
        <v>214</v>
      </c>
      <c r="G195" s="5" t="s">
        <v>21</v>
      </c>
      <c r="H195" s="5" t="s">
        <v>62</v>
      </c>
      <c r="I195" s="5" t="s">
        <v>32</v>
      </c>
      <c r="J195" s="5" t="s">
        <v>121</v>
      </c>
      <c r="K195" s="5" t="s">
        <v>32</v>
      </c>
      <c r="L195" s="5" t="s">
        <v>34</v>
      </c>
      <c r="M195" s="5" t="s">
        <v>32</v>
      </c>
      <c r="N195" s="5" t="s">
        <v>27</v>
      </c>
      <c r="O195" s="5">
        <v>15</v>
      </c>
      <c r="P195" s="5">
        <v>194</v>
      </c>
      <c r="Q195" s="5">
        <v>20</v>
      </c>
      <c r="R195" s="5" t="s">
        <v>28</v>
      </c>
      <c r="S195" s="5" t="s">
        <v>29</v>
      </c>
      <c r="T195" s="5" t="s">
        <v>105</v>
      </c>
      <c r="U195" s="7" t="s">
        <v>132</v>
      </c>
    </row>
    <row r="196" spans="1:21" x14ac:dyDescent="0.25">
      <c r="A196" s="4">
        <v>1136577</v>
      </c>
      <c r="B196" s="5" t="s">
        <v>111</v>
      </c>
      <c r="C196" s="6">
        <v>43210</v>
      </c>
      <c r="D196" s="5" t="s">
        <v>353</v>
      </c>
      <c r="E196" s="5" t="s">
        <v>45</v>
      </c>
      <c r="F196" s="5" t="s">
        <v>127</v>
      </c>
      <c r="G196" s="5" t="s">
        <v>21</v>
      </c>
      <c r="H196" s="5" t="s">
        <v>45</v>
      </c>
      <c r="I196" s="5" t="s">
        <v>33</v>
      </c>
      <c r="J196" s="5" t="s">
        <v>37</v>
      </c>
      <c r="K196" s="5" t="s">
        <v>37</v>
      </c>
      <c r="L196" s="5" t="s">
        <v>26</v>
      </c>
      <c r="M196" s="5" t="s">
        <v>33</v>
      </c>
      <c r="N196" s="5" t="s">
        <v>27</v>
      </c>
      <c r="O196" s="5">
        <v>64</v>
      </c>
      <c r="P196" s="5">
        <v>205</v>
      </c>
      <c r="Q196" s="5">
        <v>20</v>
      </c>
      <c r="R196" s="5" t="s">
        <v>28</v>
      </c>
      <c r="S196" s="5" t="s">
        <v>29</v>
      </c>
      <c r="T196" s="5" t="s">
        <v>186</v>
      </c>
      <c r="U196" s="7" t="s">
        <v>174</v>
      </c>
    </row>
    <row r="197" spans="1:21" x14ac:dyDescent="0.25">
      <c r="A197" s="4">
        <v>1136578</v>
      </c>
      <c r="B197" s="5" t="s">
        <v>42</v>
      </c>
      <c r="C197" s="6">
        <v>43211</v>
      </c>
      <c r="D197" s="5" t="s">
        <v>353</v>
      </c>
      <c r="E197" s="5" t="s">
        <v>213</v>
      </c>
      <c r="F197" s="5" t="s">
        <v>43</v>
      </c>
      <c r="G197" s="5" t="s">
        <v>21</v>
      </c>
      <c r="H197" s="5" t="s">
        <v>213</v>
      </c>
      <c r="I197" s="5" t="s">
        <v>25</v>
      </c>
      <c r="J197" s="5" t="s">
        <v>32</v>
      </c>
      <c r="K197" s="5" t="s">
        <v>32</v>
      </c>
      <c r="L197" s="5" t="s">
        <v>26</v>
      </c>
      <c r="M197" s="5" t="s">
        <v>32</v>
      </c>
      <c r="N197" s="5" t="s">
        <v>38</v>
      </c>
      <c r="O197" s="5">
        <v>9</v>
      </c>
      <c r="P197" s="5">
        <v>125</v>
      </c>
      <c r="Q197" s="5">
        <v>13</v>
      </c>
      <c r="R197" s="5" t="s">
        <v>28</v>
      </c>
      <c r="S197" s="5" t="s">
        <v>57</v>
      </c>
      <c r="T197" s="5" t="s">
        <v>198</v>
      </c>
      <c r="U197" s="7" t="s">
        <v>118</v>
      </c>
    </row>
    <row r="198" spans="1:21" x14ac:dyDescent="0.25">
      <c r="A198" s="4">
        <v>1136579</v>
      </c>
      <c r="B198" s="5" t="s">
        <v>195</v>
      </c>
      <c r="C198" s="6">
        <v>43211</v>
      </c>
      <c r="D198" s="5" t="s">
        <v>353</v>
      </c>
      <c r="E198" s="5" t="s">
        <v>64</v>
      </c>
      <c r="F198" s="5" t="s">
        <v>196</v>
      </c>
      <c r="G198" s="5" t="s">
        <v>21</v>
      </c>
      <c r="H198" s="5" t="s">
        <v>64</v>
      </c>
      <c r="I198" s="5" t="s">
        <v>229</v>
      </c>
      <c r="J198" s="5" t="s">
        <v>24</v>
      </c>
      <c r="K198" s="5" t="s">
        <v>24</v>
      </c>
      <c r="L198" s="5" t="s">
        <v>26</v>
      </c>
      <c r="M198" s="5" t="s">
        <v>24</v>
      </c>
      <c r="N198" s="5" t="s">
        <v>38</v>
      </c>
      <c r="O198" s="5">
        <v>6</v>
      </c>
      <c r="P198" s="5">
        <v>175</v>
      </c>
      <c r="Q198" s="5">
        <v>20</v>
      </c>
      <c r="R198" s="5" t="s">
        <v>28</v>
      </c>
      <c r="S198" s="5" t="s">
        <v>29</v>
      </c>
      <c r="T198" s="5" t="s">
        <v>155</v>
      </c>
      <c r="U198" s="7" t="s">
        <v>126</v>
      </c>
    </row>
    <row r="199" spans="1:21" x14ac:dyDescent="0.25">
      <c r="A199" s="4">
        <v>1136580</v>
      </c>
      <c r="B199" s="5" t="s">
        <v>47</v>
      </c>
      <c r="C199" s="6">
        <v>43212</v>
      </c>
      <c r="D199" s="5" t="s">
        <v>353</v>
      </c>
      <c r="E199" s="5" t="s">
        <v>84</v>
      </c>
      <c r="F199" s="5" t="s">
        <v>215</v>
      </c>
      <c r="G199" s="5" t="s">
        <v>21</v>
      </c>
      <c r="H199" s="5" t="s">
        <v>84</v>
      </c>
      <c r="I199" s="5" t="s">
        <v>33</v>
      </c>
      <c r="J199" s="5" t="s">
        <v>121</v>
      </c>
      <c r="K199" s="5" t="s">
        <v>121</v>
      </c>
      <c r="L199" s="5" t="s">
        <v>26</v>
      </c>
      <c r="M199" s="5" t="s">
        <v>33</v>
      </c>
      <c r="N199" s="5" t="s">
        <v>27</v>
      </c>
      <c r="O199" s="5">
        <v>4</v>
      </c>
      <c r="P199" s="5">
        <v>183</v>
      </c>
      <c r="Q199" s="5">
        <v>20</v>
      </c>
      <c r="R199" s="5" t="s">
        <v>28</v>
      </c>
      <c r="S199" s="5" t="s">
        <v>29</v>
      </c>
      <c r="T199" s="5" t="s">
        <v>105</v>
      </c>
      <c r="U199" s="7" t="s">
        <v>110</v>
      </c>
    </row>
    <row r="200" spans="1:21" x14ac:dyDescent="0.25">
      <c r="A200" s="4">
        <v>1136581</v>
      </c>
      <c r="B200" s="5" t="s">
        <v>44</v>
      </c>
      <c r="C200" s="6">
        <v>43212</v>
      </c>
      <c r="D200" s="5" t="s">
        <v>353</v>
      </c>
      <c r="E200" s="5" t="s">
        <v>220</v>
      </c>
      <c r="F200" s="5" t="s">
        <v>46</v>
      </c>
      <c r="G200" s="5" t="s">
        <v>21</v>
      </c>
      <c r="H200" s="5" t="s">
        <v>220</v>
      </c>
      <c r="I200" s="5" t="s">
        <v>41</v>
      </c>
      <c r="J200" s="5" t="s">
        <v>37</v>
      </c>
      <c r="K200" s="5" t="s">
        <v>41</v>
      </c>
      <c r="L200" s="5" t="s">
        <v>34</v>
      </c>
      <c r="M200" s="5" t="s">
        <v>37</v>
      </c>
      <c r="N200" s="5" t="s">
        <v>38</v>
      </c>
      <c r="O200" s="5">
        <v>3</v>
      </c>
      <c r="P200" s="5">
        <v>168</v>
      </c>
      <c r="Q200" s="5">
        <v>20</v>
      </c>
      <c r="R200" s="5" t="s">
        <v>28</v>
      </c>
      <c r="S200" s="5" t="s">
        <v>29</v>
      </c>
      <c r="T200" s="5" t="s">
        <v>186</v>
      </c>
      <c r="U200" s="7" t="s">
        <v>91</v>
      </c>
    </row>
    <row r="201" spans="1:21" x14ac:dyDescent="0.25">
      <c r="A201" s="4">
        <v>1136582</v>
      </c>
      <c r="B201" s="5" t="s">
        <v>35</v>
      </c>
      <c r="C201" s="6">
        <v>43213</v>
      </c>
      <c r="D201" s="5" t="s">
        <v>353</v>
      </c>
      <c r="E201" s="5" t="s">
        <v>221</v>
      </c>
      <c r="F201" s="5" t="s">
        <v>222</v>
      </c>
      <c r="G201" s="5" t="s">
        <v>21</v>
      </c>
      <c r="H201" s="5" t="s">
        <v>221</v>
      </c>
      <c r="I201" s="5" t="s">
        <v>32</v>
      </c>
      <c r="J201" s="5" t="s">
        <v>229</v>
      </c>
      <c r="K201" s="5" t="s">
        <v>229</v>
      </c>
      <c r="L201" s="5" t="s">
        <v>26</v>
      </c>
      <c r="M201" s="5" t="s">
        <v>32</v>
      </c>
      <c r="N201" s="5" t="s">
        <v>27</v>
      </c>
      <c r="O201" s="5">
        <v>4</v>
      </c>
      <c r="P201" s="5">
        <v>144</v>
      </c>
      <c r="Q201" s="5">
        <v>20</v>
      </c>
      <c r="R201" s="5" t="s">
        <v>28</v>
      </c>
      <c r="S201" s="5" t="s">
        <v>29</v>
      </c>
      <c r="T201" s="5" t="s">
        <v>178</v>
      </c>
      <c r="U201" s="7" t="s">
        <v>126</v>
      </c>
    </row>
    <row r="202" spans="1:21" x14ac:dyDescent="0.25">
      <c r="A202" s="4">
        <v>1136583</v>
      </c>
      <c r="B202" s="5" t="s">
        <v>39</v>
      </c>
      <c r="C202" s="6">
        <v>43214</v>
      </c>
      <c r="D202" s="5" t="s">
        <v>353</v>
      </c>
      <c r="E202" s="5" t="s">
        <v>197</v>
      </c>
      <c r="F202" s="5" t="s">
        <v>40</v>
      </c>
      <c r="G202" s="5" t="s">
        <v>21</v>
      </c>
      <c r="H202" s="5" t="s">
        <v>197</v>
      </c>
      <c r="I202" s="5" t="s">
        <v>121</v>
      </c>
      <c r="J202" s="5" t="s">
        <v>41</v>
      </c>
      <c r="K202" s="5" t="s">
        <v>41</v>
      </c>
      <c r="L202" s="5" t="s">
        <v>26</v>
      </c>
      <c r="M202" s="5" t="s">
        <v>121</v>
      </c>
      <c r="N202" s="5" t="s">
        <v>27</v>
      </c>
      <c r="O202" s="5">
        <v>31</v>
      </c>
      <c r="P202" s="5">
        <v>119</v>
      </c>
      <c r="Q202" s="5">
        <v>20</v>
      </c>
      <c r="R202" s="5" t="s">
        <v>28</v>
      </c>
      <c r="S202" s="5" t="s">
        <v>29</v>
      </c>
      <c r="T202" s="5" t="s">
        <v>118</v>
      </c>
      <c r="U202" s="7" t="s">
        <v>70</v>
      </c>
    </row>
    <row r="203" spans="1:21" x14ac:dyDescent="0.25">
      <c r="A203" s="4">
        <v>1136584</v>
      </c>
      <c r="B203" s="5" t="s">
        <v>195</v>
      </c>
      <c r="C203" s="6">
        <v>43215</v>
      </c>
      <c r="D203" s="5" t="s">
        <v>353</v>
      </c>
      <c r="E203" s="5" t="s">
        <v>52</v>
      </c>
      <c r="F203" s="5" t="s">
        <v>196</v>
      </c>
      <c r="G203" s="5" t="s">
        <v>21</v>
      </c>
      <c r="H203" s="5" t="s">
        <v>52</v>
      </c>
      <c r="I203" s="5" t="s">
        <v>24</v>
      </c>
      <c r="J203" s="5" t="s">
        <v>33</v>
      </c>
      <c r="K203" s="5" t="s">
        <v>33</v>
      </c>
      <c r="L203" s="5" t="s">
        <v>26</v>
      </c>
      <c r="M203" s="5" t="s">
        <v>33</v>
      </c>
      <c r="N203" s="5" t="s">
        <v>38</v>
      </c>
      <c r="O203" s="5">
        <v>5</v>
      </c>
      <c r="P203" s="5">
        <v>206</v>
      </c>
      <c r="Q203" s="5">
        <v>20</v>
      </c>
      <c r="R203" s="5" t="s">
        <v>28</v>
      </c>
      <c r="S203" s="5" t="s">
        <v>29</v>
      </c>
      <c r="T203" s="5" t="s">
        <v>132</v>
      </c>
      <c r="U203" s="7" t="s">
        <v>173</v>
      </c>
    </row>
    <row r="204" spans="1:21" x14ac:dyDescent="0.25">
      <c r="A204" s="4">
        <v>1136585</v>
      </c>
      <c r="B204" s="5" t="s">
        <v>47</v>
      </c>
      <c r="C204" s="6">
        <v>43216</v>
      </c>
      <c r="D204" s="5" t="s">
        <v>353</v>
      </c>
      <c r="E204" s="5" t="s">
        <v>221</v>
      </c>
      <c r="F204" s="5" t="s">
        <v>215</v>
      </c>
      <c r="G204" s="5" t="s">
        <v>21</v>
      </c>
      <c r="H204" s="5" t="s">
        <v>221</v>
      </c>
      <c r="I204" s="5" t="s">
        <v>121</v>
      </c>
      <c r="J204" s="5" t="s">
        <v>32</v>
      </c>
      <c r="K204" s="5" t="s">
        <v>32</v>
      </c>
      <c r="L204" s="5" t="s">
        <v>26</v>
      </c>
      <c r="M204" s="5" t="s">
        <v>121</v>
      </c>
      <c r="N204" s="5" t="s">
        <v>27</v>
      </c>
      <c r="O204" s="5">
        <v>13</v>
      </c>
      <c r="P204" s="5">
        <v>133</v>
      </c>
      <c r="Q204" s="5">
        <v>20</v>
      </c>
      <c r="R204" s="5" t="s">
        <v>28</v>
      </c>
      <c r="S204" s="5" t="s">
        <v>29</v>
      </c>
      <c r="T204" s="5" t="s">
        <v>126</v>
      </c>
      <c r="U204" s="7" t="s">
        <v>202</v>
      </c>
    </row>
    <row r="205" spans="1:21" x14ac:dyDescent="0.25">
      <c r="A205" s="4">
        <v>1136586</v>
      </c>
      <c r="B205" s="5" t="s">
        <v>35</v>
      </c>
      <c r="C205" s="6">
        <v>43217</v>
      </c>
      <c r="D205" s="5" t="s">
        <v>353</v>
      </c>
      <c r="E205" s="5" t="s">
        <v>161</v>
      </c>
      <c r="F205" s="5" t="s">
        <v>222</v>
      </c>
      <c r="G205" s="5" t="s">
        <v>21</v>
      </c>
      <c r="H205" s="5" t="s">
        <v>161</v>
      </c>
      <c r="I205" s="5" t="s">
        <v>229</v>
      </c>
      <c r="J205" s="5" t="s">
        <v>25</v>
      </c>
      <c r="K205" s="5" t="s">
        <v>25</v>
      </c>
      <c r="L205" s="5" t="s">
        <v>26</v>
      </c>
      <c r="M205" s="5" t="s">
        <v>229</v>
      </c>
      <c r="N205" s="5" t="s">
        <v>27</v>
      </c>
      <c r="O205" s="5">
        <v>55</v>
      </c>
      <c r="P205" s="5">
        <v>220</v>
      </c>
      <c r="Q205" s="5">
        <v>20</v>
      </c>
      <c r="R205" s="5" t="s">
        <v>28</v>
      </c>
      <c r="S205" s="5" t="s">
        <v>29</v>
      </c>
      <c r="T205" s="5" t="s">
        <v>118</v>
      </c>
      <c r="U205" s="7" t="s">
        <v>70</v>
      </c>
    </row>
    <row r="206" spans="1:21" x14ac:dyDescent="0.25">
      <c r="A206" s="4">
        <v>1136587</v>
      </c>
      <c r="B206" s="5" t="s">
        <v>111</v>
      </c>
      <c r="C206" s="6">
        <v>43218</v>
      </c>
      <c r="D206" s="5" t="s">
        <v>353</v>
      </c>
      <c r="E206" s="5" t="s">
        <v>72</v>
      </c>
      <c r="F206" s="5" t="s">
        <v>127</v>
      </c>
      <c r="G206" s="5" t="s">
        <v>21</v>
      </c>
      <c r="H206" s="5" t="s">
        <v>72</v>
      </c>
      <c r="I206" s="5" t="s">
        <v>33</v>
      </c>
      <c r="J206" s="5" t="s">
        <v>41</v>
      </c>
      <c r="K206" s="5" t="s">
        <v>41</v>
      </c>
      <c r="L206" s="5" t="s">
        <v>26</v>
      </c>
      <c r="M206" s="5" t="s">
        <v>41</v>
      </c>
      <c r="N206" s="5" t="s">
        <v>38</v>
      </c>
      <c r="O206" s="5">
        <v>8</v>
      </c>
      <c r="P206" s="5">
        <v>170</v>
      </c>
      <c r="Q206" s="5">
        <v>20</v>
      </c>
      <c r="R206" s="5" t="s">
        <v>28</v>
      </c>
      <c r="S206" s="5" t="s">
        <v>29</v>
      </c>
      <c r="T206" s="5" t="s">
        <v>155</v>
      </c>
      <c r="U206" s="7" t="s">
        <v>174</v>
      </c>
    </row>
    <row r="207" spans="1:21" x14ac:dyDescent="0.25">
      <c r="A207" s="4">
        <v>1136588</v>
      </c>
      <c r="B207" s="5" t="s">
        <v>44</v>
      </c>
      <c r="C207" s="6">
        <v>43219</v>
      </c>
      <c r="D207" s="5" t="s">
        <v>353</v>
      </c>
      <c r="E207" s="5" t="s">
        <v>204</v>
      </c>
      <c r="F207" s="5" t="s">
        <v>46</v>
      </c>
      <c r="G207" s="5" t="s">
        <v>21</v>
      </c>
      <c r="H207" s="5" t="s">
        <v>204</v>
      </c>
      <c r="I207" s="5" t="s">
        <v>121</v>
      </c>
      <c r="J207" s="5" t="s">
        <v>37</v>
      </c>
      <c r="K207" s="5" t="s">
        <v>121</v>
      </c>
      <c r="L207" s="5" t="s">
        <v>34</v>
      </c>
      <c r="M207" s="5" t="s">
        <v>121</v>
      </c>
      <c r="N207" s="5" t="s">
        <v>27</v>
      </c>
      <c r="O207" s="5">
        <v>11</v>
      </c>
      <c r="P207" s="5">
        <v>152</v>
      </c>
      <c r="Q207" s="5">
        <v>20</v>
      </c>
      <c r="R207" s="5" t="s">
        <v>28</v>
      </c>
      <c r="S207" s="5" t="s">
        <v>29</v>
      </c>
      <c r="T207" s="5" t="s">
        <v>113</v>
      </c>
      <c r="U207" s="7" t="s">
        <v>178</v>
      </c>
    </row>
    <row r="208" spans="1:21" x14ac:dyDescent="0.25">
      <c r="A208" s="4">
        <v>1136589</v>
      </c>
      <c r="B208" s="5" t="s">
        <v>195</v>
      </c>
      <c r="C208" s="6">
        <v>43219</v>
      </c>
      <c r="D208" s="5" t="s">
        <v>353</v>
      </c>
      <c r="E208" s="5" t="s">
        <v>144</v>
      </c>
      <c r="F208" s="5" t="s">
        <v>196</v>
      </c>
      <c r="G208" s="5" t="s">
        <v>21</v>
      </c>
      <c r="H208" s="5" t="s">
        <v>144</v>
      </c>
      <c r="I208" s="5" t="s">
        <v>24</v>
      </c>
      <c r="J208" s="5" t="s">
        <v>25</v>
      </c>
      <c r="K208" s="5" t="s">
        <v>25</v>
      </c>
      <c r="L208" s="5" t="s">
        <v>26</v>
      </c>
      <c r="M208" s="5" t="s">
        <v>25</v>
      </c>
      <c r="N208" s="5" t="s">
        <v>38</v>
      </c>
      <c r="O208" s="5">
        <v>6</v>
      </c>
      <c r="P208" s="5">
        <v>176</v>
      </c>
      <c r="Q208" s="5">
        <v>20</v>
      </c>
      <c r="R208" s="5" t="s">
        <v>28</v>
      </c>
      <c r="S208" s="5" t="s">
        <v>29</v>
      </c>
      <c r="T208" s="5" t="s">
        <v>105</v>
      </c>
      <c r="U208" s="7" t="s">
        <v>132</v>
      </c>
    </row>
    <row r="209" spans="1:21" x14ac:dyDescent="0.25">
      <c r="A209" s="4">
        <v>1136590</v>
      </c>
      <c r="B209" s="5" t="s">
        <v>111</v>
      </c>
      <c r="C209" s="6">
        <v>43220</v>
      </c>
      <c r="D209" s="5" t="s">
        <v>353</v>
      </c>
      <c r="E209" s="5" t="s">
        <v>45</v>
      </c>
      <c r="F209" s="5" t="s">
        <v>127</v>
      </c>
      <c r="G209" s="5" t="s">
        <v>21</v>
      </c>
      <c r="H209" s="5" t="s">
        <v>45</v>
      </c>
      <c r="I209" s="5" t="s">
        <v>33</v>
      </c>
      <c r="J209" s="5" t="s">
        <v>229</v>
      </c>
      <c r="K209" s="5" t="s">
        <v>229</v>
      </c>
      <c r="L209" s="5" t="s">
        <v>26</v>
      </c>
      <c r="M209" s="5" t="s">
        <v>33</v>
      </c>
      <c r="N209" s="5" t="s">
        <v>27</v>
      </c>
      <c r="O209" s="5">
        <v>13</v>
      </c>
      <c r="P209" s="5">
        <v>212</v>
      </c>
      <c r="Q209" s="5">
        <v>20</v>
      </c>
      <c r="R209" s="5" t="s">
        <v>28</v>
      </c>
      <c r="S209" s="5" t="s">
        <v>29</v>
      </c>
      <c r="T209" s="5" t="s">
        <v>183</v>
      </c>
      <c r="U209" s="7" t="s">
        <v>118</v>
      </c>
    </row>
    <row r="210" spans="1:21" x14ac:dyDescent="0.25">
      <c r="A210" s="4">
        <v>1136591</v>
      </c>
      <c r="B210" s="5" t="s">
        <v>195</v>
      </c>
      <c r="C210" s="6">
        <v>43221</v>
      </c>
      <c r="D210" s="5" t="s">
        <v>353</v>
      </c>
      <c r="E210" s="5" t="s">
        <v>223</v>
      </c>
      <c r="F210" s="5" t="s">
        <v>196</v>
      </c>
      <c r="G210" s="5" t="s">
        <v>21</v>
      </c>
      <c r="H210" s="5" t="s">
        <v>223</v>
      </c>
      <c r="I210" s="5" t="s">
        <v>24</v>
      </c>
      <c r="J210" s="5" t="s">
        <v>41</v>
      </c>
      <c r="K210" s="5" t="s">
        <v>41</v>
      </c>
      <c r="L210" s="5" t="s">
        <v>26</v>
      </c>
      <c r="M210" s="5" t="s">
        <v>24</v>
      </c>
      <c r="N210" s="5" t="s">
        <v>27</v>
      </c>
      <c r="O210" s="5">
        <v>14</v>
      </c>
      <c r="P210" s="5">
        <v>168</v>
      </c>
      <c r="Q210" s="5">
        <v>20</v>
      </c>
      <c r="R210" s="5" t="s">
        <v>28</v>
      </c>
      <c r="S210" s="5" t="s">
        <v>29</v>
      </c>
      <c r="T210" s="5" t="s">
        <v>63</v>
      </c>
      <c r="U210" s="7" t="s">
        <v>174</v>
      </c>
    </row>
    <row r="211" spans="1:21" x14ac:dyDescent="0.25">
      <c r="A211" s="4">
        <v>1136592</v>
      </c>
      <c r="B211" s="5" t="s">
        <v>35</v>
      </c>
      <c r="C211" s="6">
        <v>43222</v>
      </c>
      <c r="D211" s="5" t="s">
        <v>353</v>
      </c>
      <c r="E211" s="5" t="s">
        <v>187</v>
      </c>
      <c r="F211" s="5" t="s">
        <v>222</v>
      </c>
      <c r="G211" s="5" t="s">
        <v>21</v>
      </c>
      <c r="H211" s="5" t="s">
        <v>187</v>
      </c>
      <c r="I211" s="5" t="s">
        <v>229</v>
      </c>
      <c r="J211" s="5" t="s">
        <v>37</v>
      </c>
      <c r="K211" s="5" t="s">
        <v>37</v>
      </c>
      <c r="L211" s="5" t="s">
        <v>26</v>
      </c>
      <c r="M211" s="5" t="s">
        <v>229</v>
      </c>
      <c r="N211" s="5" t="s">
        <v>27</v>
      </c>
      <c r="O211" s="5">
        <v>4</v>
      </c>
      <c r="P211" s="5">
        <v>151</v>
      </c>
      <c r="Q211" s="5">
        <v>12</v>
      </c>
      <c r="R211" s="5" t="s">
        <v>28</v>
      </c>
      <c r="S211" s="5" t="s">
        <v>57</v>
      </c>
      <c r="T211" s="5" t="s">
        <v>126</v>
      </c>
      <c r="U211" s="7" t="s">
        <v>173</v>
      </c>
    </row>
    <row r="212" spans="1:21" x14ac:dyDescent="0.25">
      <c r="A212" s="4">
        <v>1136593</v>
      </c>
      <c r="B212" s="5" t="s">
        <v>42</v>
      </c>
      <c r="C212" s="6">
        <v>43223</v>
      </c>
      <c r="D212" s="5" t="s">
        <v>353</v>
      </c>
      <c r="E212" s="5" t="s">
        <v>115</v>
      </c>
      <c r="F212" s="5" t="s">
        <v>43</v>
      </c>
      <c r="G212" s="5" t="s">
        <v>21</v>
      </c>
      <c r="H212" s="5" t="s">
        <v>115</v>
      </c>
      <c r="I212" s="5" t="s">
        <v>33</v>
      </c>
      <c r="J212" s="5" t="s">
        <v>25</v>
      </c>
      <c r="K212" s="5" t="s">
        <v>25</v>
      </c>
      <c r="L212" s="5" t="s">
        <v>26</v>
      </c>
      <c r="M212" s="5" t="s">
        <v>25</v>
      </c>
      <c r="N212" s="5" t="s">
        <v>38</v>
      </c>
      <c r="O212" s="5">
        <v>6</v>
      </c>
      <c r="P212" s="5">
        <v>178</v>
      </c>
      <c r="Q212" s="5">
        <v>20</v>
      </c>
      <c r="R212" s="5" t="s">
        <v>28</v>
      </c>
      <c r="S212" s="5" t="s">
        <v>29</v>
      </c>
      <c r="T212" s="5" t="s">
        <v>198</v>
      </c>
      <c r="U212" s="7" t="s">
        <v>67</v>
      </c>
    </row>
    <row r="213" spans="1:21" x14ac:dyDescent="0.25">
      <c r="A213" s="4">
        <v>1136594</v>
      </c>
      <c r="B213" s="5" t="s">
        <v>95</v>
      </c>
      <c r="C213" s="6">
        <v>43224</v>
      </c>
      <c r="D213" s="5" t="s">
        <v>353</v>
      </c>
      <c r="E213" s="5" t="s">
        <v>181</v>
      </c>
      <c r="F213" s="5" t="s">
        <v>96</v>
      </c>
      <c r="G213" s="5" t="s">
        <v>21</v>
      </c>
      <c r="H213" s="5" t="s">
        <v>181</v>
      </c>
      <c r="I213" s="5" t="s">
        <v>32</v>
      </c>
      <c r="J213" s="5" t="s">
        <v>41</v>
      </c>
      <c r="K213" s="5" t="s">
        <v>41</v>
      </c>
      <c r="L213" s="5" t="s">
        <v>26</v>
      </c>
      <c r="M213" s="5" t="s">
        <v>41</v>
      </c>
      <c r="N213" s="5" t="s">
        <v>38</v>
      </c>
      <c r="O213" s="5">
        <v>6</v>
      </c>
      <c r="P213" s="5">
        <v>175</v>
      </c>
      <c r="Q213" s="5">
        <v>20</v>
      </c>
      <c r="R213" s="5" t="s">
        <v>28</v>
      </c>
      <c r="S213" s="5" t="s">
        <v>29</v>
      </c>
      <c r="T213" s="5" t="s">
        <v>183</v>
      </c>
      <c r="U213" s="7" t="s">
        <v>70</v>
      </c>
    </row>
    <row r="214" spans="1:21" x14ac:dyDescent="0.25">
      <c r="A214" s="4">
        <v>1136595</v>
      </c>
      <c r="B214" s="5" t="s">
        <v>111</v>
      </c>
      <c r="C214" s="6">
        <v>43225</v>
      </c>
      <c r="D214" s="5" t="s">
        <v>353</v>
      </c>
      <c r="E214" s="5" t="s">
        <v>108</v>
      </c>
      <c r="F214" s="5" t="s">
        <v>127</v>
      </c>
      <c r="G214" s="5" t="s">
        <v>21</v>
      </c>
      <c r="H214" s="5" t="s">
        <v>108</v>
      </c>
      <c r="I214" s="5" t="s">
        <v>24</v>
      </c>
      <c r="J214" s="5" t="s">
        <v>33</v>
      </c>
      <c r="K214" s="5" t="s">
        <v>33</v>
      </c>
      <c r="L214" s="5" t="s">
        <v>26</v>
      </c>
      <c r="M214" s="5" t="s">
        <v>33</v>
      </c>
      <c r="N214" s="5" t="s">
        <v>38</v>
      </c>
      <c r="O214" s="5">
        <v>6</v>
      </c>
      <c r="P214" s="5">
        <v>128</v>
      </c>
      <c r="Q214" s="5">
        <v>20</v>
      </c>
      <c r="R214" s="5" t="s">
        <v>28</v>
      </c>
      <c r="S214" s="5" t="s">
        <v>29</v>
      </c>
      <c r="T214" s="5" t="s">
        <v>174</v>
      </c>
      <c r="U214" s="7" t="s">
        <v>202</v>
      </c>
    </row>
    <row r="215" spans="1:21" x14ac:dyDescent="0.25">
      <c r="A215" s="4">
        <v>1136596</v>
      </c>
      <c r="B215" s="5" t="s">
        <v>47</v>
      </c>
      <c r="C215" s="6">
        <v>43225</v>
      </c>
      <c r="D215" s="5" t="s">
        <v>353</v>
      </c>
      <c r="E215" s="5" t="s">
        <v>197</v>
      </c>
      <c r="F215" s="5" t="s">
        <v>215</v>
      </c>
      <c r="G215" s="5" t="s">
        <v>21</v>
      </c>
      <c r="H215" s="5" t="s">
        <v>197</v>
      </c>
      <c r="I215" s="5" t="s">
        <v>229</v>
      </c>
      <c r="J215" s="5" t="s">
        <v>121</v>
      </c>
      <c r="K215" s="5" t="s">
        <v>229</v>
      </c>
      <c r="L215" s="5" t="s">
        <v>34</v>
      </c>
      <c r="M215" s="5" t="s">
        <v>121</v>
      </c>
      <c r="N215" s="5" t="s">
        <v>38</v>
      </c>
      <c r="O215" s="5">
        <v>7</v>
      </c>
      <c r="P215" s="5">
        <v>164</v>
      </c>
      <c r="Q215" s="5">
        <v>20</v>
      </c>
      <c r="R215" s="5" t="s">
        <v>28</v>
      </c>
      <c r="S215" s="5" t="s">
        <v>29</v>
      </c>
      <c r="T215" s="5" t="s">
        <v>113</v>
      </c>
      <c r="U215" s="7" t="s">
        <v>126</v>
      </c>
    </row>
    <row r="216" spans="1:21" x14ac:dyDescent="0.25">
      <c r="A216" s="4">
        <v>1136597</v>
      </c>
      <c r="B216" s="5" t="s">
        <v>39</v>
      </c>
      <c r="C216" s="6">
        <v>43226</v>
      </c>
      <c r="D216" s="5" t="s">
        <v>353</v>
      </c>
      <c r="E216" s="5" t="s">
        <v>167</v>
      </c>
      <c r="F216" s="5" t="s">
        <v>40</v>
      </c>
      <c r="G216" s="5" t="s">
        <v>21</v>
      </c>
      <c r="H216" s="5" t="s">
        <v>167</v>
      </c>
      <c r="I216" s="5" t="s">
        <v>41</v>
      </c>
      <c r="J216" s="5" t="s">
        <v>25</v>
      </c>
      <c r="K216" s="5" t="s">
        <v>25</v>
      </c>
      <c r="L216" s="5" t="s">
        <v>26</v>
      </c>
      <c r="M216" s="5" t="s">
        <v>41</v>
      </c>
      <c r="N216" s="5" t="s">
        <v>27</v>
      </c>
      <c r="O216" s="5">
        <v>13</v>
      </c>
      <c r="P216" s="5">
        <v>182</v>
      </c>
      <c r="Q216" s="5">
        <v>20</v>
      </c>
      <c r="R216" s="5" t="s">
        <v>28</v>
      </c>
      <c r="S216" s="5" t="s">
        <v>29</v>
      </c>
      <c r="T216" s="5" t="s">
        <v>198</v>
      </c>
      <c r="U216" s="7" t="s">
        <v>67</v>
      </c>
    </row>
    <row r="217" spans="1:21" x14ac:dyDescent="0.25">
      <c r="A217" s="4">
        <v>1136598</v>
      </c>
      <c r="B217" s="5" t="s">
        <v>95</v>
      </c>
      <c r="C217" s="6">
        <v>43226</v>
      </c>
      <c r="D217" s="5" t="s">
        <v>353</v>
      </c>
      <c r="E217" s="5" t="s">
        <v>224</v>
      </c>
      <c r="F217" s="5" t="s">
        <v>96</v>
      </c>
      <c r="G217" s="5" t="s">
        <v>21</v>
      </c>
      <c r="H217" s="5" t="s">
        <v>224</v>
      </c>
      <c r="I217" s="5" t="s">
        <v>37</v>
      </c>
      <c r="J217" s="5" t="s">
        <v>32</v>
      </c>
      <c r="K217" s="5" t="s">
        <v>32</v>
      </c>
      <c r="L217" s="5" t="s">
        <v>26</v>
      </c>
      <c r="M217" s="5" t="s">
        <v>32</v>
      </c>
      <c r="N217" s="5" t="s">
        <v>38</v>
      </c>
      <c r="O217" s="5">
        <v>6</v>
      </c>
      <c r="P217" s="5">
        <v>153</v>
      </c>
      <c r="Q217" s="5">
        <v>20</v>
      </c>
      <c r="R217" s="5" t="s">
        <v>28</v>
      </c>
      <c r="S217" s="5" t="s">
        <v>29</v>
      </c>
      <c r="T217" s="5" t="s">
        <v>118</v>
      </c>
      <c r="U217" s="7" t="s">
        <v>70</v>
      </c>
    </row>
    <row r="218" spans="1:21" x14ac:dyDescent="0.25">
      <c r="A218" s="4">
        <v>1136599</v>
      </c>
      <c r="B218" s="5" t="s">
        <v>47</v>
      </c>
      <c r="C218" s="6">
        <v>43227</v>
      </c>
      <c r="D218" s="5" t="s">
        <v>353</v>
      </c>
      <c r="E218" s="5" t="s">
        <v>204</v>
      </c>
      <c r="F218" s="5" t="s">
        <v>215</v>
      </c>
      <c r="G218" s="5" t="s">
        <v>21</v>
      </c>
      <c r="H218" s="5" t="s">
        <v>204</v>
      </c>
      <c r="I218" s="5" t="s">
        <v>121</v>
      </c>
      <c r="J218" s="5" t="s">
        <v>24</v>
      </c>
      <c r="K218" s="5" t="s">
        <v>24</v>
      </c>
      <c r="L218" s="5" t="s">
        <v>26</v>
      </c>
      <c r="M218" s="5" t="s">
        <v>121</v>
      </c>
      <c r="N218" s="5" t="s">
        <v>27</v>
      </c>
      <c r="O218" s="5">
        <v>5</v>
      </c>
      <c r="P218" s="5">
        <v>147</v>
      </c>
      <c r="Q218" s="5">
        <v>20</v>
      </c>
      <c r="R218" s="5" t="s">
        <v>28</v>
      </c>
      <c r="S218" s="5" t="s">
        <v>29</v>
      </c>
      <c r="T218" s="5" t="s">
        <v>113</v>
      </c>
      <c r="U218" s="7" t="s">
        <v>173</v>
      </c>
    </row>
    <row r="219" spans="1:21" x14ac:dyDescent="0.25">
      <c r="A219" s="4">
        <v>1136600</v>
      </c>
      <c r="B219" s="5" t="s">
        <v>44</v>
      </c>
      <c r="C219" s="6">
        <v>43228</v>
      </c>
      <c r="D219" s="5" t="s">
        <v>353</v>
      </c>
      <c r="E219" s="5" t="s">
        <v>205</v>
      </c>
      <c r="F219" s="5" t="s">
        <v>46</v>
      </c>
      <c r="G219" s="5" t="s">
        <v>21</v>
      </c>
      <c r="H219" s="5" t="s">
        <v>205</v>
      </c>
      <c r="I219" s="5" t="s">
        <v>37</v>
      </c>
      <c r="J219" s="5" t="s">
        <v>32</v>
      </c>
      <c r="K219" s="5" t="s">
        <v>37</v>
      </c>
      <c r="L219" s="5" t="s">
        <v>34</v>
      </c>
      <c r="M219" s="5" t="s">
        <v>37</v>
      </c>
      <c r="N219" s="5" t="s">
        <v>27</v>
      </c>
      <c r="O219" s="5">
        <v>15</v>
      </c>
      <c r="P219" s="5">
        <v>159</v>
      </c>
      <c r="Q219" s="5">
        <v>20</v>
      </c>
      <c r="R219" s="5" t="s">
        <v>28</v>
      </c>
      <c r="S219" s="5" t="s">
        <v>29</v>
      </c>
      <c r="T219" s="5" t="s">
        <v>63</v>
      </c>
      <c r="U219" s="7" t="s">
        <v>174</v>
      </c>
    </row>
    <row r="220" spans="1:21" x14ac:dyDescent="0.25">
      <c r="A220" s="4">
        <v>1136601</v>
      </c>
      <c r="B220" s="5" t="s">
        <v>42</v>
      </c>
      <c r="C220" s="6">
        <v>43229</v>
      </c>
      <c r="D220" s="5" t="s">
        <v>353</v>
      </c>
      <c r="E220" s="5" t="s">
        <v>225</v>
      </c>
      <c r="F220" s="5" t="s">
        <v>43</v>
      </c>
      <c r="G220" s="5" t="s">
        <v>21</v>
      </c>
      <c r="H220" s="5" t="s">
        <v>225</v>
      </c>
      <c r="I220" s="5" t="s">
        <v>41</v>
      </c>
      <c r="J220" s="5" t="s">
        <v>25</v>
      </c>
      <c r="K220" s="5" t="s">
        <v>25</v>
      </c>
      <c r="L220" s="5" t="s">
        <v>26</v>
      </c>
      <c r="M220" s="5" t="s">
        <v>41</v>
      </c>
      <c r="N220" s="5" t="s">
        <v>27</v>
      </c>
      <c r="O220" s="5">
        <v>102</v>
      </c>
      <c r="P220" s="5">
        <v>211</v>
      </c>
      <c r="Q220" s="5">
        <v>20</v>
      </c>
      <c r="R220" s="5" t="s">
        <v>28</v>
      </c>
      <c r="S220" s="5" t="s">
        <v>29</v>
      </c>
      <c r="T220" s="5" t="s">
        <v>186</v>
      </c>
      <c r="U220" s="7" t="s">
        <v>105</v>
      </c>
    </row>
    <row r="221" spans="1:21" x14ac:dyDescent="0.25">
      <c r="A221" s="4">
        <v>1136602</v>
      </c>
      <c r="B221" s="5" t="s">
        <v>35</v>
      </c>
      <c r="C221" s="6">
        <v>43230</v>
      </c>
      <c r="D221" s="5" t="s">
        <v>353</v>
      </c>
      <c r="E221" s="5" t="s">
        <v>98</v>
      </c>
      <c r="F221" s="5" t="s">
        <v>222</v>
      </c>
      <c r="G221" s="5" t="s">
        <v>21</v>
      </c>
      <c r="H221" s="5" t="s">
        <v>98</v>
      </c>
      <c r="I221" s="5" t="s">
        <v>229</v>
      </c>
      <c r="J221" s="5" t="s">
        <v>121</v>
      </c>
      <c r="K221" s="5" t="s">
        <v>229</v>
      </c>
      <c r="L221" s="5" t="s">
        <v>34</v>
      </c>
      <c r="M221" s="5" t="s">
        <v>121</v>
      </c>
      <c r="N221" s="5" t="s">
        <v>38</v>
      </c>
      <c r="O221" s="5">
        <v>9</v>
      </c>
      <c r="P221" s="5">
        <v>188</v>
      </c>
      <c r="Q221" s="5">
        <v>20</v>
      </c>
      <c r="R221" s="5" t="s">
        <v>28</v>
      </c>
      <c r="S221" s="5" t="s">
        <v>29</v>
      </c>
      <c r="T221" s="5" t="s">
        <v>183</v>
      </c>
      <c r="U221" s="7" t="s">
        <v>118</v>
      </c>
    </row>
    <row r="222" spans="1:21" x14ac:dyDescent="0.25">
      <c r="A222" s="4">
        <v>1136603</v>
      </c>
      <c r="B222" s="5" t="s">
        <v>44</v>
      </c>
      <c r="C222" s="6">
        <v>43231</v>
      </c>
      <c r="D222" s="5" t="s">
        <v>353</v>
      </c>
      <c r="E222" s="5" t="s">
        <v>205</v>
      </c>
      <c r="F222" s="5" t="s">
        <v>46</v>
      </c>
      <c r="G222" s="5" t="s">
        <v>21</v>
      </c>
      <c r="H222" s="5" t="s">
        <v>205</v>
      </c>
      <c r="I222" s="5" t="s">
        <v>33</v>
      </c>
      <c r="J222" s="5" t="s">
        <v>37</v>
      </c>
      <c r="K222" s="5" t="s">
        <v>33</v>
      </c>
      <c r="L222" s="5" t="s">
        <v>34</v>
      </c>
      <c r="M222" s="5" t="s">
        <v>37</v>
      </c>
      <c r="N222" s="5" t="s">
        <v>38</v>
      </c>
      <c r="O222" s="5">
        <v>4</v>
      </c>
      <c r="P222" s="5">
        <v>177</v>
      </c>
      <c r="Q222" s="5">
        <v>20</v>
      </c>
      <c r="R222" s="5" t="s">
        <v>28</v>
      </c>
      <c r="S222" s="5" t="s">
        <v>29</v>
      </c>
      <c r="T222" s="5" t="s">
        <v>63</v>
      </c>
      <c r="U222" s="7" t="s">
        <v>202</v>
      </c>
    </row>
    <row r="223" spans="1:21" x14ac:dyDescent="0.25">
      <c r="A223" s="4">
        <v>1136604</v>
      </c>
      <c r="B223" s="5" t="s">
        <v>95</v>
      </c>
      <c r="C223" s="6">
        <v>43232</v>
      </c>
      <c r="D223" s="5" t="s">
        <v>353</v>
      </c>
      <c r="E223" s="5" t="s">
        <v>115</v>
      </c>
      <c r="F223" s="5" t="s">
        <v>96</v>
      </c>
      <c r="G223" s="5" t="s">
        <v>21</v>
      </c>
      <c r="H223" s="5" t="s">
        <v>115</v>
      </c>
      <c r="I223" s="5" t="s">
        <v>25</v>
      </c>
      <c r="J223" s="5" t="s">
        <v>32</v>
      </c>
      <c r="K223" s="5" t="s">
        <v>32</v>
      </c>
      <c r="L223" s="5" t="s">
        <v>26</v>
      </c>
      <c r="M223" s="5" t="s">
        <v>25</v>
      </c>
      <c r="N223" s="5" t="s">
        <v>27</v>
      </c>
      <c r="O223" s="5">
        <v>31</v>
      </c>
      <c r="P223" s="5">
        <v>246</v>
      </c>
      <c r="Q223" s="5">
        <v>20</v>
      </c>
      <c r="R223" s="5" t="s">
        <v>28</v>
      </c>
      <c r="S223" s="5" t="s">
        <v>29</v>
      </c>
      <c r="T223" s="5" t="s">
        <v>126</v>
      </c>
      <c r="U223" s="7" t="s">
        <v>173</v>
      </c>
    </row>
    <row r="224" spans="1:21" x14ac:dyDescent="0.25">
      <c r="A224" s="4">
        <v>1136605</v>
      </c>
      <c r="B224" s="5" t="s">
        <v>35</v>
      </c>
      <c r="C224" s="6">
        <v>43232</v>
      </c>
      <c r="D224" s="5" t="s">
        <v>353</v>
      </c>
      <c r="E224" s="5" t="s">
        <v>64</v>
      </c>
      <c r="F224" s="5" t="s">
        <v>222</v>
      </c>
      <c r="G224" s="5" t="s">
        <v>21</v>
      </c>
      <c r="H224" s="5" t="s">
        <v>64</v>
      </c>
      <c r="I224" s="5" t="s">
        <v>229</v>
      </c>
      <c r="J224" s="5" t="s">
        <v>24</v>
      </c>
      <c r="K224" s="5" t="s">
        <v>24</v>
      </c>
      <c r="L224" s="5" t="s">
        <v>26</v>
      </c>
      <c r="M224" s="5" t="s">
        <v>24</v>
      </c>
      <c r="N224" s="5" t="s">
        <v>38</v>
      </c>
      <c r="O224" s="5">
        <v>5</v>
      </c>
      <c r="P224" s="5">
        <v>182</v>
      </c>
      <c r="Q224" s="5">
        <v>20</v>
      </c>
      <c r="R224" s="5" t="s">
        <v>28</v>
      </c>
      <c r="S224" s="5" t="s">
        <v>29</v>
      </c>
      <c r="T224" s="5" t="s">
        <v>186</v>
      </c>
      <c r="U224" s="7" t="s">
        <v>67</v>
      </c>
    </row>
    <row r="225" spans="1:21" x14ac:dyDescent="0.25">
      <c r="A225" s="4">
        <v>1136606</v>
      </c>
      <c r="B225" s="5" t="s">
        <v>111</v>
      </c>
      <c r="C225" s="6">
        <v>43233</v>
      </c>
      <c r="D225" s="5" t="s">
        <v>353</v>
      </c>
      <c r="E225" s="5" t="s">
        <v>84</v>
      </c>
      <c r="F225" s="5" t="s">
        <v>127</v>
      </c>
      <c r="G225" s="5" t="s">
        <v>21</v>
      </c>
      <c r="H225" s="5" t="s">
        <v>84</v>
      </c>
      <c r="I225" s="5" t="s">
        <v>121</v>
      </c>
      <c r="J225" s="5" t="s">
        <v>33</v>
      </c>
      <c r="K225" s="5" t="s">
        <v>33</v>
      </c>
      <c r="L225" s="5" t="s">
        <v>26</v>
      </c>
      <c r="M225" s="5" t="s">
        <v>33</v>
      </c>
      <c r="N225" s="5" t="s">
        <v>38</v>
      </c>
      <c r="O225" s="5">
        <v>8</v>
      </c>
      <c r="P225" s="5">
        <v>180</v>
      </c>
      <c r="Q225" s="5">
        <v>20</v>
      </c>
      <c r="R225" s="5" t="s">
        <v>28</v>
      </c>
      <c r="S225" s="5" t="s">
        <v>29</v>
      </c>
      <c r="T225" s="5" t="s">
        <v>63</v>
      </c>
      <c r="U225" s="7" t="s">
        <v>202</v>
      </c>
    </row>
    <row r="226" spans="1:21" x14ac:dyDescent="0.25">
      <c r="A226" s="4">
        <v>1136607</v>
      </c>
      <c r="B226" s="5" t="s">
        <v>39</v>
      </c>
      <c r="C226" s="6">
        <v>43233</v>
      </c>
      <c r="D226" s="5" t="s">
        <v>353</v>
      </c>
      <c r="E226" s="5" t="s">
        <v>205</v>
      </c>
      <c r="F226" s="5" t="s">
        <v>40</v>
      </c>
      <c r="G226" s="5" t="s">
        <v>21</v>
      </c>
      <c r="H226" s="5" t="s">
        <v>205</v>
      </c>
      <c r="I226" s="5" t="s">
        <v>41</v>
      </c>
      <c r="J226" s="5" t="s">
        <v>37</v>
      </c>
      <c r="K226" s="5" t="s">
        <v>37</v>
      </c>
      <c r="L226" s="5" t="s">
        <v>26</v>
      </c>
      <c r="M226" s="5" t="s">
        <v>37</v>
      </c>
      <c r="N226" s="5" t="s">
        <v>38</v>
      </c>
      <c r="O226" s="5">
        <v>7</v>
      </c>
      <c r="P226" s="5">
        <v>169</v>
      </c>
      <c r="Q226" s="5">
        <v>20</v>
      </c>
      <c r="R226" s="5" t="s">
        <v>28</v>
      </c>
      <c r="S226" s="5" t="s">
        <v>29</v>
      </c>
      <c r="T226" s="5" t="s">
        <v>174</v>
      </c>
      <c r="U226" s="7" t="s">
        <v>70</v>
      </c>
    </row>
    <row r="227" spans="1:21" x14ac:dyDescent="0.25">
      <c r="A227" s="4">
        <v>1136608</v>
      </c>
      <c r="B227" s="5" t="s">
        <v>95</v>
      </c>
      <c r="C227" s="6">
        <v>43234</v>
      </c>
      <c r="D227" s="5" t="s">
        <v>353</v>
      </c>
      <c r="E227" s="5" t="s">
        <v>120</v>
      </c>
      <c r="F227" s="5" t="s">
        <v>96</v>
      </c>
      <c r="G227" s="5" t="s">
        <v>21</v>
      </c>
      <c r="H227" s="5" t="s">
        <v>120</v>
      </c>
      <c r="I227" s="5" t="s">
        <v>32</v>
      </c>
      <c r="J227" s="5" t="s">
        <v>24</v>
      </c>
      <c r="K227" s="5" t="s">
        <v>24</v>
      </c>
      <c r="L227" s="5" t="s">
        <v>26</v>
      </c>
      <c r="M227" s="5" t="s">
        <v>24</v>
      </c>
      <c r="N227" s="5" t="s">
        <v>38</v>
      </c>
      <c r="O227" s="5">
        <v>10</v>
      </c>
      <c r="P227" s="5">
        <v>89</v>
      </c>
      <c r="Q227" s="5">
        <v>20</v>
      </c>
      <c r="R227" s="5" t="s">
        <v>28</v>
      </c>
      <c r="S227" s="5" t="s">
        <v>29</v>
      </c>
      <c r="T227" s="5" t="s">
        <v>113</v>
      </c>
      <c r="U227" s="7" t="s">
        <v>173</v>
      </c>
    </row>
    <row r="228" spans="1:21" x14ac:dyDescent="0.25">
      <c r="A228" s="4">
        <v>1136609</v>
      </c>
      <c r="B228" s="5" t="s">
        <v>42</v>
      </c>
      <c r="C228" s="6">
        <v>43235</v>
      </c>
      <c r="D228" s="5" t="s">
        <v>353</v>
      </c>
      <c r="E228" s="5" t="s">
        <v>226</v>
      </c>
      <c r="F228" s="5" t="s">
        <v>43</v>
      </c>
      <c r="G228" s="5" t="s">
        <v>21</v>
      </c>
      <c r="H228" s="5" t="s">
        <v>226</v>
      </c>
      <c r="I228" s="5" t="s">
        <v>37</v>
      </c>
      <c r="J228" s="5" t="s">
        <v>25</v>
      </c>
      <c r="K228" s="5" t="s">
        <v>25</v>
      </c>
      <c r="L228" s="5" t="s">
        <v>26</v>
      </c>
      <c r="M228" s="5" t="s">
        <v>25</v>
      </c>
      <c r="N228" s="5" t="s">
        <v>38</v>
      </c>
      <c r="O228" s="5">
        <v>6</v>
      </c>
      <c r="P228" s="5">
        <v>143</v>
      </c>
      <c r="Q228" s="5">
        <v>20</v>
      </c>
      <c r="R228" s="5" t="s">
        <v>28</v>
      </c>
      <c r="S228" s="5" t="s">
        <v>29</v>
      </c>
      <c r="T228" s="5" t="s">
        <v>105</v>
      </c>
      <c r="U228" s="7" t="s">
        <v>67</v>
      </c>
    </row>
    <row r="229" spans="1:21" x14ac:dyDescent="0.25">
      <c r="A229" s="4">
        <v>1136610</v>
      </c>
      <c r="B229" s="5" t="s">
        <v>39</v>
      </c>
      <c r="C229" s="6">
        <v>43236</v>
      </c>
      <c r="D229" s="5" t="s">
        <v>353</v>
      </c>
      <c r="E229" s="5" t="s">
        <v>200</v>
      </c>
      <c r="F229" s="5" t="s">
        <v>40</v>
      </c>
      <c r="G229" s="5" t="s">
        <v>21</v>
      </c>
      <c r="H229" s="5" t="s">
        <v>200</v>
      </c>
      <c r="I229" s="5" t="s">
        <v>41</v>
      </c>
      <c r="J229" s="5" t="s">
        <v>32</v>
      </c>
      <c r="K229" s="5" t="s">
        <v>32</v>
      </c>
      <c r="L229" s="5" t="s">
        <v>26</v>
      </c>
      <c r="M229" s="5" t="s">
        <v>41</v>
      </c>
      <c r="N229" s="5" t="s">
        <v>27</v>
      </c>
      <c r="O229" s="5">
        <v>3</v>
      </c>
      <c r="P229" s="5">
        <v>187</v>
      </c>
      <c r="Q229" s="5">
        <v>20</v>
      </c>
      <c r="R229" s="5" t="s">
        <v>28</v>
      </c>
      <c r="S229" s="5" t="s">
        <v>29</v>
      </c>
      <c r="T229" s="5" t="s">
        <v>63</v>
      </c>
      <c r="U229" s="7" t="s">
        <v>174</v>
      </c>
    </row>
    <row r="230" spans="1:21" x14ac:dyDescent="0.25">
      <c r="A230" s="4">
        <v>1136611</v>
      </c>
      <c r="B230" s="5" t="s">
        <v>195</v>
      </c>
      <c r="C230" s="6">
        <v>43237</v>
      </c>
      <c r="D230" s="5" t="s">
        <v>353</v>
      </c>
      <c r="E230" s="5" t="s">
        <v>64</v>
      </c>
      <c r="F230" s="5" t="s">
        <v>196</v>
      </c>
      <c r="G230" s="5" t="s">
        <v>21</v>
      </c>
      <c r="H230" s="5" t="s">
        <v>64</v>
      </c>
      <c r="I230" s="5" t="s">
        <v>24</v>
      </c>
      <c r="J230" s="5" t="s">
        <v>121</v>
      </c>
      <c r="K230" s="5" t="s">
        <v>121</v>
      </c>
      <c r="L230" s="5" t="s">
        <v>26</v>
      </c>
      <c r="M230" s="5" t="s">
        <v>24</v>
      </c>
      <c r="N230" s="5" t="s">
        <v>27</v>
      </c>
      <c r="O230" s="5">
        <v>14</v>
      </c>
      <c r="P230" s="5">
        <v>219</v>
      </c>
      <c r="Q230" s="5">
        <v>20</v>
      </c>
      <c r="R230" s="5" t="s">
        <v>28</v>
      </c>
      <c r="S230" s="5" t="s">
        <v>29</v>
      </c>
      <c r="T230" s="5" t="s">
        <v>183</v>
      </c>
      <c r="U230" s="7" t="s">
        <v>70</v>
      </c>
    </row>
    <row r="231" spans="1:21" x14ac:dyDescent="0.25">
      <c r="A231" s="4">
        <v>1136612</v>
      </c>
      <c r="B231" s="5" t="s">
        <v>35</v>
      </c>
      <c r="C231" s="6">
        <v>43238</v>
      </c>
      <c r="D231" s="5" t="s">
        <v>353</v>
      </c>
      <c r="E231" s="5" t="s">
        <v>210</v>
      </c>
      <c r="F231" s="5" t="s">
        <v>222</v>
      </c>
      <c r="G231" s="5" t="s">
        <v>21</v>
      </c>
      <c r="H231" s="5" t="s">
        <v>210</v>
      </c>
      <c r="I231" s="5" t="s">
        <v>229</v>
      </c>
      <c r="J231" s="5" t="s">
        <v>33</v>
      </c>
      <c r="K231" s="5" t="s">
        <v>33</v>
      </c>
      <c r="L231" s="5" t="s">
        <v>26</v>
      </c>
      <c r="M231" s="5" t="s">
        <v>229</v>
      </c>
      <c r="N231" s="5" t="s">
        <v>27</v>
      </c>
      <c r="O231" s="5">
        <v>34</v>
      </c>
      <c r="P231" s="5">
        <v>163</v>
      </c>
      <c r="Q231" s="5">
        <v>20</v>
      </c>
      <c r="R231" s="5" t="s">
        <v>28</v>
      </c>
      <c r="S231" s="5" t="s">
        <v>29</v>
      </c>
      <c r="T231" s="5" t="s">
        <v>67</v>
      </c>
      <c r="U231" s="7" t="s">
        <v>110</v>
      </c>
    </row>
    <row r="232" spans="1:21" x14ac:dyDescent="0.25">
      <c r="A232" s="4">
        <v>1136613</v>
      </c>
      <c r="B232" s="5" t="s">
        <v>44</v>
      </c>
      <c r="C232" s="6">
        <v>43239</v>
      </c>
      <c r="D232" s="5" t="s">
        <v>353</v>
      </c>
      <c r="E232" s="5" t="s">
        <v>227</v>
      </c>
      <c r="F232" s="5" t="s">
        <v>46</v>
      </c>
      <c r="G232" s="5" t="s">
        <v>21</v>
      </c>
      <c r="H232" s="5" t="s">
        <v>227</v>
      </c>
      <c r="I232" s="5" t="s">
        <v>37</v>
      </c>
      <c r="J232" s="5" t="s">
        <v>24</v>
      </c>
      <c r="K232" s="5" t="s">
        <v>37</v>
      </c>
      <c r="L232" s="5" t="s">
        <v>34</v>
      </c>
      <c r="M232" s="5" t="s">
        <v>37</v>
      </c>
      <c r="N232" s="5" t="s">
        <v>27</v>
      </c>
      <c r="O232" s="5">
        <v>30</v>
      </c>
      <c r="P232" s="5">
        <v>165</v>
      </c>
      <c r="Q232" s="5">
        <v>20</v>
      </c>
      <c r="R232" s="5" t="s">
        <v>28</v>
      </c>
      <c r="S232" s="5" t="s">
        <v>29</v>
      </c>
      <c r="T232" s="5" t="s">
        <v>113</v>
      </c>
      <c r="U232" s="7" t="s">
        <v>173</v>
      </c>
    </row>
    <row r="233" spans="1:21" x14ac:dyDescent="0.25">
      <c r="A233" s="4">
        <v>1136614</v>
      </c>
      <c r="B233" s="5" t="s">
        <v>47</v>
      </c>
      <c r="C233" s="6">
        <v>43239</v>
      </c>
      <c r="D233" s="5" t="s">
        <v>353</v>
      </c>
      <c r="E233" s="5" t="s">
        <v>144</v>
      </c>
      <c r="F233" s="5" t="s">
        <v>215</v>
      </c>
      <c r="G233" s="5" t="s">
        <v>21</v>
      </c>
      <c r="H233" s="5" t="s">
        <v>144</v>
      </c>
      <c r="I233" s="5" t="s">
        <v>121</v>
      </c>
      <c r="J233" s="5" t="s">
        <v>25</v>
      </c>
      <c r="K233" s="5" t="s">
        <v>121</v>
      </c>
      <c r="L233" s="5" t="s">
        <v>34</v>
      </c>
      <c r="M233" s="5" t="s">
        <v>25</v>
      </c>
      <c r="N233" s="5" t="s">
        <v>38</v>
      </c>
      <c r="O233" s="5">
        <v>5</v>
      </c>
      <c r="P233" s="5">
        <v>173</v>
      </c>
      <c r="Q233" s="5">
        <v>20</v>
      </c>
      <c r="R233" s="5" t="s">
        <v>28</v>
      </c>
      <c r="S233" s="5" t="s">
        <v>29</v>
      </c>
      <c r="T233" s="5" t="s">
        <v>105</v>
      </c>
      <c r="U233" s="7" t="s">
        <v>70</v>
      </c>
    </row>
    <row r="234" spans="1:21" x14ac:dyDescent="0.25">
      <c r="A234" s="4">
        <v>1136615</v>
      </c>
      <c r="B234" s="5" t="s">
        <v>35</v>
      </c>
      <c r="C234" s="6">
        <v>43240</v>
      </c>
      <c r="D234" s="5" t="s">
        <v>353</v>
      </c>
      <c r="E234" s="5" t="s">
        <v>56</v>
      </c>
      <c r="F234" s="5" t="s">
        <v>222</v>
      </c>
      <c r="G234" s="5" t="s">
        <v>21</v>
      </c>
      <c r="H234" s="5" t="s">
        <v>56</v>
      </c>
      <c r="I234" s="5" t="s">
        <v>229</v>
      </c>
      <c r="J234" s="5" t="s">
        <v>41</v>
      </c>
      <c r="K234" s="5" t="s">
        <v>229</v>
      </c>
      <c r="L234" s="5" t="s">
        <v>34</v>
      </c>
      <c r="M234" s="5" t="s">
        <v>229</v>
      </c>
      <c r="N234" s="5" t="s">
        <v>27</v>
      </c>
      <c r="O234" s="5">
        <v>11</v>
      </c>
      <c r="P234" s="5">
        <v>175</v>
      </c>
      <c r="Q234" s="5">
        <v>20</v>
      </c>
      <c r="R234" s="5" t="s">
        <v>28</v>
      </c>
      <c r="S234" s="5" t="s">
        <v>29</v>
      </c>
      <c r="T234" s="5" t="s">
        <v>67</v>
      </c>
      <c r="U234" s="7" t="s">
        <v>126</v>
      </c>
    </row>
    <row r="235" spans="1:21" x14ac:dyDescent="0.25">
      <c r="A235" s="4">
        <v>1136616</v>
      </c>
      <c r="B235" s="5" t="s">
        <v>111</v>
      </c>
      <c r="C235" s="6">
        <v>43240</v>
      </c>
      <c r="D235" s="5" t="s">
        <v>353</v>
      </c>
      <c r="E235" s="5" t="s">
        <v>228</v>
      </c>
      <c r="F235" s="5" t="s">
        <v>127</v>
      </c>
      <c r="G235" s="5" t="s">
        <v>21</v>
      </c>
      <c r="H235" s="5" t="s">
        <v>228</v>
      </c>
      <c r="I235" s="5" t="s">
        <v>32</v>
      </c>
      <c r="J235" s="5" t="s">
        <v>33</v>
      </c>
      <c r="K235" s="5" t="s">
        <v>33</v>
      </c>
      <c r="L235" s="5" t="s">
        <v>26</v>
      </c>
      <c r="M235" s="5" t="s">
        <v>33</v>
      </c>
      <c r="N235" s="5" t="s">
        <v>38</v>
      </c>
      <c r="O235" s="5">
        <v>5</v>
      </c>
      <c r="P235" s="5">
        <v>154</v>
      </c>
      <c r="Q235" s="5">
        <v>20</v>
      </c>
      <c r="R235" s="5" t="s">
        <v>28</v>
      </c>
      <c r="S235" s="5" t="s">
        <v>29</v>
      </c>
      <c r="T235" s="5" t="s">
        <v>174</v>
      </c>
      <c r="U235" s="7" t="s">
        <v>202</v>
      </c>
    </row>
    <row r="236" spans="1:21" x14ac:dyDescent="0.25">
      <c r="A236" s="4">
        <v>1136617</v>
      </c>
      <c r="B236" s="5" t="s">
        <v>39</v>
      </c>
      <c r="C236" s="6">
        <v>43242</v>
      </c>
      <c r="D236" s="5" t="s">
        <v>353</v>
      </c>
      <c r="E236" s="5" t="s">
        <v>114</v>
      </c>
      <c r="F236" s="5" t="s">
        <v>40</v>
      </c>
      <c r="G236" s="5" t="s">
        <v>100</v>
      </c>
      <c r="H236" s="5" t="s">
        <v>114</v>
      </c>
      <c r="I236" s="5" t="s">
        <v>121</v>
      </c>
      <c r="J236" s="5" t="s">
        <v>33</v>
      </c>
      <c r="K236" s="5" t="s">
        <v>33</v>
      </c>
      <c r="L236" s="5" t="s">
        <v>26</v>
      </c>
      <c r="M236" s="5" t="s">
        <v>33</v>
      </c>
      <c r="N236" s="5" t="s">
        <v>38</v>
      </c>
      <c r="O236" s="5">
        <v>2</v>
      </c>
      <c r="P236" s="5">
        <v>140</v>
      </c>
      <c r="Q236" s="5">
        <v>20</v>
      </c>
      <c r="R236" s="5" t="s">
        <v>28</v>
      </c>
      <c r="S236" s="5" t="s">
        <v>29</v>
      </c>
      <c r="T236" s="5" t="s">
        <v>118</v>
      </c>
      <c r="U236" s="7" t="s">
        <v>63</v>
      </c>
    </row>
    <row r="237" spans="1:21" x14ac:dyDescent="0.25">
      <c r="A237" s="4">
        <v>1136618</v>
      </c>
      <c r="B237" s="5" t="s">
        <v>42</v>
      </c>
      <c r="C237" s="6">
        <v>43243</v>
      </c>
      <c r="D237" s="5" t="s">
        <v>353</v>
      </c>
      <c r="E237" s="5" t="s">
        <v>160</v>
      </c>
      <c r="F237" s="5" t="s">
        <v>43</v>
      </c>
      <c r="G237" s="5" t="s">
        <v>136</v>
      </c>
      <c r="H237" s="5" t="s">
        <v>160</v>
      </c>
      <c r="I237" s="5" t="s">
        <v>25</v>
      </c>
      <c r="J237" s="5" t="s">
        <v>37</v>
      </c>
      <c r="K237" s="5" t="s">
        <v>37</v>
      </c>
      <c r="L237" s="5" t="s">
        <v>26</v>
      </c>
      <c r="M237" s="5" t="s">
        <v>25</v>
      </c>
      <c r="N237" s="5" t="s">
        <v>27</v>
      </c>
      <c r="O237" s="5">
        <v>25</v>
      </c>
      <c r="P237" s="5">
        <v>170</v>
      </c>
      <c r="Q237" s="5">
        <v>20</v>
      </c>
      <c r="R237" s="5" t="s">
        <v>28</v>
      </c>
      <c r="S237" s="5" t="s">
        <v>29</v>
      </c>
      <c r="T237" s="5" t="s">
        <v>105</v>
      </c>
      <c r="U237" s="7" t="s">
        <v>174</v>
      </c>
    </row>
    <row r="238" spans="1:21" x14ac:dyDescent="0.25">
      <c r="A238" s="4">
        <v>1136619</v>
      </c>
      <c r="B238" s="5" t="s">
        <v>42</v>
      </c>
      <c r="C238" s="6">
        <v>43245</v>
      </c>
      <c r="D238" s="5" t="s">
        <v>353</v>
      </c>
      <c r="E238" s="5" t="s">
        <v>197</v>
      </c>
      <c r="F238" s="5" t="s">
        <v>43</v>
      </c>
      <c r="G238" s="5" t="s">
        <v>102</v>
      </c>
      <c r="H238" s="5" t="s">
        <v>197</v>
      </c>
      <c r="I238" s="5" t="s">
        <v>121</v>
      </c>
      <c r="J238" s="5" t="s">
        <v>25</v>
      </c>
      <c r="K238" s="5" t="s">
        <v>25</v>
      </c>
      <c r="L238" s="5" t="s">
        <v>26</v>
      </c>
      <c r="M238" s="5" t="s">
        <v>121</v>
      </c>
      <c r="N238" s="5" t="s">
        <v>27</v>
      </c>
      <c r="O238" s="5">
        <v>14</v>
      </c>
      <c r="P238" s="5">
        <v>175</v>
      </c>
      <c r="Q238" s="5">
        <v>20</v>
      </c>
      <c r="R238" s="5" t="s">
        <v>28</v>
      </c>
      <c r="S238" s="5" t="s">
        <v>29</v>
      </c>
      <c r="T238" s="5" t="s">
        <v>67</v>
      </c>
      <c r="U238" s="7" t="s">
        <v>174</v>
      </c>
    </row>
    <row r="239" spans="1:21" x14ac:dyDescent="0.25">
      <c r="A239" s="4">
        <v>1136620</v>
      </c>
      <c r="B239" s="5" t="s">
        <v>39</v>
      </c>
      <c r="C239" s="6">
        <v>43247</v>
      </c>
      <c r="D239" s="5" t="s">
        <v>353</v>
      </c>
      <c r="E239" s="5" t="s">
        <v>45</v>
      </c>
      <c r="F239" s="5" t="s">
        <v>40</v>
      </c>
      <c r="G239" s="5" t="s">
        <v>61</v>
      </c>
      <c r="H239" s="5" t="s">
        <v>45</v>
      </c>
      <c r="I239" s="5" t="s">
        <v>121</v>
      </c>
      <c r="J239" s="5" t="s">
        <v>33</v>
      </c>
      <c r="K239" s="5" t="s">
        <v>33</v>
      </c>
      <c r="L239" s="5" t="s">
        <v>26</v>
      </c>
      <c r="M239" s="5" t="s">
        <v>33</v>
      </c>
      <c r="N239" s="5" t="s">
        <v>38</v>
      </c>
      <c r="O239" s="5">
        <v>8</v>
      </c>
      <c r="P239" s="5">
        <v>179</v>
      </c>
      <c r="Q239" s="5">
        <v>20</v>
      </c>
      <c r="R239" s="5" t="s">
        <v>28</v>
      </c>
      <c r="S239" s="5" t="s">
        <v>29</v>
      </c>
      <c r="T239" s="5" t="s">
        <v>63</v>
      </c>
      <c r="U239" s="7" t="s">
        <v>70</v>
      </c>
    </row>
    <row r="240" spans="1:21" x14ac:dyDescent="0.25">
      <c r="A240" s="4">
        <v>1175356</v>
      </c>
      <c r="B240" s="5" t="s">
        <v>49</v>
      </c>
      <c r="C240" s="6">
        <v>43547</v>
      </c>
      <c r="D240" s="5" t="s">
        <v>354</v>
      </c>
      <c r="E240" s="5" t="s">
        <v>74</v>
      </c>
      <c r="F240" s="5" t="s">
        <v>217</v>
      </c>
      <c r="G240" s="5" t="s">
        <v>21</v>
      </c>
      <c r="H240" s="5" t="s">
        <v>74</v>
      </c>
      <c r="I240" s="5" t="s">
        <v>24</v>
      </c>
      <c r="J240" s="5" t="s">
        <v>33</v>
      </c>
      <c r="K240" s="5" t="s">
        <v>33</v>
      </c>
      <c r="L240" s="5" t="s">
        <v>26</v>
      </c>
      <c r="M240" s="5" t="s">
        <v>33</v>
      </c>
      <c r="N240" s="5" t="s">
        <v>38</v>
      </c>
      <c r="O240" s="5">
        <v>7</v>
      </c>
      <c r="P240" s="5">
        <v>71</v>
      </c>
      <c r="Q240" s="5">
        <v>20</v>
      </c>
      <c r="R240" s="5" t="s">
        <v>28</v>
      </c>
      <c r="S240" s="5" t="s">
        <v>29</v>
      </c>
      <c r="T240" s="5" t="s">
        <v>183</v>
      </c>
      <c r="U240" s="7" t="s">
        <v>113</v>
      </c>
    </row>
    <row r="241" spans="1:21" x14ac:dyDescent="0.25">
      <c r="A241" s="4">
        <v>1175357</v>
      </c>
      <c r="B241" s="5" t="s">
        <v>42</v>
      </c>
      <c r="C241" s="6">
        <v>43548</v>
      </c>
      <c r="D241" s="5" t="s">
        <v>354</v>
      </c>
      <c r="E241" s="5" t="s">
        <v>160</v>
      </c>
      <c r="F241" s="5" t="s">
        <v>43</v>
      </c>
      <c r="G241" s="5" t="s">
        <v>21</v>
      </c>
      <c r="H241" s="5" t="s">
        <v>160</v>
      </c>
      <c r="I241" s="5" t="s">
        <v>121</v>
      </c>
      <c r="J241" s="5" t="s">
        <v>25</v>
      </c>
      <c r="K241" s="5" t="s">
        <v>25</v>
      </c>
      <c r="L241" s="5" t="s">
        <v>26</v>
      </c>
      <c r="M241" s="5" t="s">
        <v>25</v>
      </c>
      <c r="N241" s="5" t="s">
        <v>38</v>
      </c>
      <c r="O241" s="5">
        <v>6</v>
      </c>
      <c r="P241" s="5">
        <v>182</v>
      </c>
      <c r="Q241" s="5">
        <v>20</v>
      </c>
      <c r="R241" s="5" t="s">
        <v>28</v>
      </c>
      <c r="S241" s="5" t="s">
        <v>29</v>
      </c>
      <c r="T241" s="5" t="s">
        <v>105</v>
      </c>
      <c r="U241" s="7" t="s">
        <v>155</v>
      </c>
    </row>
    <row r="242" spans="1:21" x14ac:dyDescent="0.25">
      <c r="A242" s="4">
        <v>1175358</v>
      </c>
      <c r="B242" s="5" t="s">
        <v>39</v>
      </c>
      <c r="C242" s="6">
        <v>43548</v>
      </c>
      <c r="D242" s="5" t="s">
        <v>354</v>
      </c>
      <c r="E242" s="5" t="s">
        <v>187</v>
      </c>
      <c r="F242" s="5" t="s">
        <v>40</v>
      </c>
      <c r="G242" s="5" t="s">
        <v>21</v>
      </c>
      <c r="H242" s="5" t="s">
        <v>187</v>
      </c>
      <c r="I242" s="5" t="s">
        <v>229</v>
      </c>
      <c r="J242" s="5" t="s">
        <v>41</v>
      </c>
      <c r="K242" s="5" t="s">
        <v>41</v>
      </c>
      <c r="L242" s="5" t="s">
        <v>26</v>
      </c>
      <c r="M242" s="5" t="s">
        <v>229</v>
      </c>
      <c r="N242" s="5" t="s">
        <v>27</v>
      </c>
      <c r="O242" s="5">
        <v>37</v>
      </c>
      <c r="P242" s="5">
        <v>214</v>
      </c>
      <c r="Q242" s="5">
        <v>20</v>
      </c>
      <c r="R242" s="5" t="s">
        <v>28</v>
      </c>
      <c r="S242" s="5" t="s">
        <v>29</v>
      </c>
      <c r="T242" s="5" t="s">
        <v>70</v>
      </c>
      <c r="U242" s="7" t="s">
        <v>202</v>
      </c>
    </row>
    <row r="243" spans="1:21" x14ac:dyDescent="0.25">
      <c r="A243" s="4">
        <v>1175359</v>
      </c>
      <c r="B243" s="5" t="s">
        <v>44</v>
      </c>
      <c r="C243" s="6">
        <v>43549</v>
      </c>
      <c r="D243" s="5" t="s">
        <v>354</v>
      </c>
      <c r="E243" s="5" t="s">
        <v>62</v>
      </c>
      <c r="F243" s="5" t="s">
        <v>46</v>
      </c>
      <c r="G243" s="5" t="s">
        <v>21</v>
      </c>
      <c r="H243" s="5" t="s">
        <v>62</v>
      </c>
      <c r="I243" s="5" t="s">
        <v>32</v>
      </c>
      <c r="J243" s="5" t="s">
        <v>37</v>
      </c>
      <c r="K243" s="5" t="s">
        <v>37</v>
      </c>
      <c r="L243" s="5" t="s">
        <v>26</v>
      </c>
      <c r="M243" s="5" t="s">
        <v>32</v>
      </c>
      <c r="N243" s="5" t="s">
        <v>27</v>
      </c>
      <c r="O243" s="5">
        <v>14</v>
      </c>
      <c r="P243" s="5">
        <v>185</v>
      </c>
      <c r="Q243" s="5">
        <v>20</v>
      </c>
      <c r="R243" s="5" t="s">
        <v>28</v>
      </c>
      <c r="S243" s="5" t="s">
        <v>29</v>
      </c>
      <c r="T243" s="5" t="s">
        <v>118</v>
      </c>
      <c r="U243" s="7" t="s">
        <v>186</v>
      </c>
    </row>
    <row r="244" spans="1:21" x14ac:dyDescent="0.25">
      <c r="A244" s="4">
        <v>1175360</v>
      </c>
      <c r="B244" s="5" t="s">
        <v>35</v>
      </c>
      <c r="C244" s="6">
        <v>43550</v>
      </c>
      <c r="D244" s="5" t="s">
        <v>354</v>
      </c>
      <c r="E244" s="5" t="s">
        <v>45</v>
      </c>
      <c r="F244" s="5" t="s">
        <v>222</v>
      </c>
      <c r="G244" s="5" t="s">
        <v>21</v>
      </c>
      <c r="H244" s="5" t="s">
        <v>45</v>
      </c>
      <c r="I244" s="5" t="s">
        <v>229</v>
      </c>
      <c r="J244" s="5" t="s">
        <v>33</v>
      </c>
      <c r="K244" s="5" t="s">
        <v>229</v>
      </c>
      <c r="L244" s="5" t="s">
        <v>34</v>
      </c>
      <c r="M244" s="5" t="s">
        <v>33</v>
      </c>
      <c r="N244" s="5" t="s">
        <v>38</v>
      </c>
      <c r="O244" s="5">
        <v>6</v>
      </c>
      <c r="P244" s="5">
        <v>148</v>
      </c>
      <c r="Q244" s="5">
        <v>20</v>
      </c>
      <c r="R244" s="5" t="s">
        <v>28</v>
      </c>
      <c r="S244" s="5" t="s">
        <v>29</v>
      </c>
      <c r="T244" s="5" t="s">
        <v>63</v>
      </c>
      <c r="U244" s="7" t="s">
        <v>174</v>
      </c>
    </row>
    <row r="245" spans="1:21" x14ac:dyDescent="0.25">
      <c r="A245" s="4">
        <v>1175361</v>
      </c>
      <c r="B245" s="5" t="s">
        <v>42</v>
      </c>
      <c r="C245" s="6">
        <v>43551</v>
      </c>
      <c r="D245" s="5" t="s">
        <v>354</v>
      </c>
      <c r="E245" s="5" t="s">
        <v>160</v>
      </c>
      <c r="F245" s="5" t="s">
        <v>43</v>
      </c>
      <c r="G245" s="5" t="s">
        <v>21</v>
      </c>
      <c r="H245" s="5" t="s">
        <v>160</v>
      </c>
      <c r="I245" s="5" t="s">
        <v>25</v>
      </c>
      <c r="J245" s="5" t="s">
        <v>32</v>
      </c>
      <c r="K245" s="5" t="s">
        <v>32</v>
      </c>
      <c r="L245" s="5" t="s">
        <v>26</v>
      </c>
      <c r="M245" s="5" t="s">
        <v>25</v>
      </c>
      <c r="N245" s="5" t="s">
        <v>27</v>
      </c>
      <c r="O245" s="5">
        <v>28</v>
      </c>
      <c r="P245" s="5">
        <v>219</v>
      </c>
      <c r="Q245" s="5">
        <v>20</v>
      </c>
      <c r="R245" s="5" t="s">
        <v>28</v>
      </c>
      <c r="S245" s="5" t="s">
        <v>29</v>
      </c>
      <c r="T245" s="5" t="s">
        <v>105</v>
      </c>
      <c r="U245" s="7" t="s">
        <v>110</v>
      </c>
    </row>
    <row r="246" spans="1:21" x14ac:dyDescent="0.25">
      <c r="A246" s="4">
        <v>1175362</v>
      </c>
      <c r="B246" s="5" t="s">
        <v>195</v>
      </c>
      <c r="C246" s="6">
        <v>43552</v>
      </c>
      <c r="D246" s="5" t="s">
        <v>354</v>
      </c>
      <c r="E246" s="5" t="s">
        <v>200</v>
      </c>
      <c r="F246" s="5" t="s">
        <v>196</v>
      </c>
      <c r="G246" s="5" t="s">
        <v>21</v>
      </c>
      <c r="H246" s="5" t="s">
        <v>200</v>
      </c>
      <c r="I246" s="5" t="s">
        <v>41</v>
      </c>
      <c r="J246" s="5" t="s">
        <v>24</v>
      </c>
      <c r="K246" s="5" t="s">
        <v>24</v>
      </c>
      <c r="L246" s="5" t="s">
        <v>26</v>
      </c>
      <c r="M246" s="5" t="s">
        <v>41</v>
      </c>
      <c r="N246" s="5" t="s">
        <v>27</v>
      </c>
      <c r="O246" s="5">
        <v>6</v>
      </c>
      <c r="P246" s="5">
        <v>188</v>
      </c>
      <c r="Q246" s="5">
        <v>20</v>
      </c>
      <c r="R246" s="5" t="s">
        <v>28</v>
      </c>
      <c r="S246" s="5" t="s">
        <v>29</v>
      </c>
      <c r="T246" s="5" t="s">
        <v>126</v>
      </c>
      <c r="U246" s="7" t="s">
        <v>70</v>
      </c>
    </row>
    <row r="247" spans="1:21" x14ac:dyDescent="0.25">
      <c r="A247" s="4">
        <v>1175363</v>
      </c>
      <c r="B247" s="5" t="s">
        <v>47</v>
      </c>
      <c r="C247" s="6">
        <v>43553</v>
      </c>
      <c r="D247" s="5" t="s">
        <v>354</v>
      </c>
      <c r="E247" s="5" t="s">
        <v>197</v>
      </c>
      <c r="F247" s="5" t="s">
        <v>215</v>
      </c>
      <c r="G247" s="5" t="s">
        <v>21</v>
      </c>
      <c r="H247" s="5" t="s">
        <v>197</v>
      </c>
      <c r="I247" s="5" t="s">
        <v>37</v>
      </c>
      <c r="J247" s="5" t="s">
        <v>121</v>
      </c>
      <c r="K247" s="5" t="s">
        <v>37</v>
      </c>
      <c r="L247" s="5" t="s">
        <v>34</v>
      </c>
      <c r="M247" s="5" t="s">
        <v>121</v>
      </c>
      <c r="N247" s="5" t="s">
        <v>38</v>
      </c>
      <c r="O247" s="5">
        <v>5</v>
      </c>
      <c r="P247" s="5">
        <v>199</v>
      </c>
      <c r="Q247" s="5">
        <v>20</v>
      </c>
      <c r="R247" s="5" t="s">
        <v>28</v>
      </c>
      <c r="S247" s="5" t="s">
        <v>29</v>
      </c>
      <c r="T247" s="5" t="s">
        <v>113</v>
      </c>
      <c r="U247" s="7" t="s">
        <v>118</v>
      </c>
    </row>
    <row r="248" spans="1:21" x14ac:dyDescent="0.25">
      <c r="A248" s="4">
        <v>1175364</v>
      </c>
      <c r="B248" s="5" t="s">
        <v>30</v>
      </c>
      <c r="C248" s="6">
        <v>43554</v>
      </c>
      <c r="D248" s="5" t="s">
        <v>354</v>
      </c>
      <c r="E248" s="5" t="s">
        <v>159</v>
      </c>
      <c r="F248" s="5" t="s">
        <v>214</v>
      </c>
      <c r="G248" s="5" t="s">
        <v>21</v>
      </c>
      <c r="H248" s="5" t="s">
        <v>159</v>
      </c>
      <c r="I248" s="5" t="s">
        <v>41</v>
      </c>
      <c r="J248" s="5" t="s">
        <v>32</v>
      </c>
      <c r="K248" s="5" t="s">
        <v>32</v>
      </c>
      <c r="L248" s="5" t="s">
        <v>26</v>
      </c>
      <c r="M248" s="5" t="s">
        <v>32</v>
      </c>
      <c r="N248" s="5" t="s">
        <v>38</v>
      </c>
      <c r="O248" s="5">
        <v>8</v>
      </c>
      <c r="P248" s="5">
        <v>177</v>
      </c>
      <c r="Q248" s="5">
        <v>20</v>
      </c>
      <c r="R248" s="5" t="s">
        <v>28</v>
      </c>
      <c r="S248" s="5" t="s">
        <v>29</v>
      </c>
      <c r="T248" s="5" t="s">
        <v>155</v>
      </c>
      <c r="U248" s="7" t="s">
        <v>110</v>
      </c>
    </row>
    <row r="249" spans="1:21" x14ac:dyDescent="0.25">
      <c r="A249" s="4">
        <v>1175365</v>
      </c>
      <c r="B249" s="5" t="s">
        <v>35</v>
      </c>
      <c r="C249" s="6">
        <v>43554</v>
      </c>
      <c r="D249" s="5" t="s">
        <v>354</v>
      </c>
      <c r="E249" s="5" t="s">
        <v>230</v>
      </c>
      <c r="F249" s="5" t="s">
        <v>222</v>
      </c>
      <c r="G249" s="5" t="s">
        <v>21</v>
      </c>
      <c r="H249" s="5" t="s">
        <v>230</v>
      </c>
      <c r="I249" s="5" t="s">
        <v>25</v>
      </c>
      <c r="J249" s="5" t="s">
        <v>229</v>
      </c>
      <c r="K249" s="5" t="s">
        <v>229</v>
      </c>
      <c r="L249" s="5" t="s">
        <v>26</v>
      </c>
      <c r="M249" s="5" t="s">
        <v>229</v>
      </c>
      <c r="N249" s="5" t="s">
        <v>65</v>
      </c>
      <c r="O249" s="5" t="s">
        <v>29</v>
      </c>
      <c r="P249" s="5">
        <v>186</v>
      </c>
      <c r="Q249" s="5">
        <v>20</v>
      </c>
      <c r="R249" s="5" t="s">
        <v>66</v>
      </c>
      <c r="S249" s="5" t="s">
        <v>29</v>
      </c>
      <c r="T249" s="5" t="s">
        <v>183</v>
      </c>
      <c r="U249" s="7" t="s">
        <v>174</v>
      </c>
    </row>
    <row r="250" spans="1:21" x14ac:dyDescent="0.25">
      <c r="A250" s="4">
        <v>1175366</v>
      </c>
      <c r="B250" s="5" t="s">
        <v>47</v>
      </c>
      <c r="C250" s="6">
        <v>43555</v>
      </c>
      <c r="D250" s="5" t="s">
        <v>354</v>
      </c>
      <c r="E250" s="5" t="s">
        <v>231</v>
      </c>
      <c r="F250" s="5" t="s">
        <v>215</v>
      </c>
      <c r="G250" s="5" t="s">
        <v>21</v>
      </c>
      <c r="H250" s="5" t="s">
        <v>231</v>
      </c>
      <c r="I250" s="5" t="s">
        <v>121</v>
      </c>
      <c r="J250" s="5" t="s">
        <v>24</v>
      </c>
      <c r="K250" s="5" t="s">
        <v>24</v>
      </c>
      <c r="L250" s="5" t="s">
        <v>26</v>
      </c>
      <c r="M250" s="5" t="s">
        <v>121</v>
      </c>
      <c r="N250" s="5" t="s">
        <v>27</v>
      </c>
      <c r="O250" s="5">
        <v>118</v>
      </c>
      <c r="P250" s="5">
        <v>232</v>
      </c>
      <c r="Q250" s="5">
        <v>20</v>
      </c>
      <c r="R250" s="5" t="s">
        <v>28</v>
      </c>
      <c r="S250" s="5" t="s">
        <v>29</v>
      </c>
      <c r="T250" s="5" t="s">
        <v>186</v>
      </c>
      <c r="U250" s="7" t="s">
        <v>70</v>
      </c>
    </row>
    <row r="251" spans="1:21" x14ac:dyDescent="0.25">
      <c r="A251" s="4">
        <v>1175367</v>
      </c>
      <c r="B251" s="5" t="s">
        <v>49</v>
      </c>
      <c r="C251" s="6">
        <v>43555</v>
      </c>
      <c r="D251" s="5" t="s">
        <v>354</v>
      </c>
      <c r="E251" s="5" t="s">
        <v>52</v>
      </c>
      <c r="F251" s="5" t="s">
        <v>217</v>
      </c>
      <c r="G251" s="5" t="s">
        <v>21</v>
      </c>
      <c r="H251" s="5" t="s">
        <v>52</v>
      </c>
      <c r="I251" s="5" t="s">
        <v>33</v>
      </c>
      <c r="J251" s="5" t="s">
        <v>37</v>
      </c>
      <c r="K251" s="5" t="s">
        <v>37</v>
      </c>
      <c r="L251" s="5" t="s">
        <v>26</v>
      </c>
      <c r="M251" s="5" t="s">
        <v>33</v>
      </c>
      <c r="N251" s="5" t="s">
        <v>27</v>
      </c>
      <c r="O251" s="5">
        <v>8</v>
      </c>
      <c r="P251" s="5">
        <v>176</v>
      </c>
      <c r="Q251" s="5">
        <v>20</v>
      </c>
      <c r="R251" s="5" t="s">
        <v>28</v>
      </c>
      <c r="S251" s="5" t="s">
        <v>29</v>
      </c>
      <c r="T251" s="5" t="s">
        <v>126</v>
      </c>
      <c r="U251" s="7" t="s">
        <v>202</v>
      </c>
    </row>
    <row r="252" spans="1:21" x14ac:dyDescent="0.25">
      <c r="A252" s="4">
        <v>1175368</v>
      </c>
      <c r="B252" s="5" t="s">
        <v>30</v>
      </c>
      <c r="C252" s="6">
        <v>43556</v>
      </c>
      <c r="D252" s="5" t="s">
        <v>354</v>
      </c>
      <c r="E252" s="5" t="s">
        <v>232</v>
      </c>
      <c r="F252" s="5" t="s">
        <v>214</v>
      </c>
      <c r="G252" s="5" t="s">
        <v>21</v>
      </c>
      <c r="H252" s="5" t="s">
        <v>232</v>
      </c>
      <c r="I252" s="5" t="s">
        <v>32</v>
      </c>
      <c r="J252" s="5" t="s">
        <v>229</v>
      </c>
      <c r="K252" s="5" t="s">
        <v>229</v>
      </c>
      <c r="L252" s="5" t="s">
        <v>26</v>
      </c>
      <c r="M252" s="5" t="s">
        <v>32</v>
      </c>
      <c r="N252" s="5" t="s">
        <v>27</v>
      </c>
      <c r="O252" s="5">
        <v>14</v>
      </c>
      <c r="P252" s="5">
        <v>167</v>
      </c>
      <c r="Q252" s="5">
        <v>20</v>
      </c>
      <c r="R252" s="5" t="s">
        <v>28</v>
      </c>
      <c r="S252" s="5" t="s">
        <v>29</v>
      </c>
      <c r="T252" s="5" t="s">
        <v>105</v>
      </c>
      <c r="U252" s="7" t="s">
        <v>155</v>
      </c>
    </row>
    <row r="253" spans="1:21" x14ac:dyDescent="0.25">
      <c r="A253" s="4">
        <v>1175369</v>
      </c>
      <c r="B253" s="5" t="s">
        <v>44</v>
      </c>
      <c r="C253" s="6">
        <v>43557</v>
      </c>
      <c r="D253" s="5" t="s">
        <v>354</v>
      </c>
      <c r="E253" s="5" t="s">
        <v>227</v>
      </c>
      <c r="F253" s="5" t="s">
        <v>46</v>
      </c>
      <c r="G253" s="5" t="s">
        <v>21</v>
      </c>
      <c r="H253" s="5" t="s">
        <v>227</v>
      </c>
      <c r="I253" s="5" t="s">
        <v>24</v>
      </c>
      <c r="J253" s="5" t="s">
        <v>37</v>
      </c>
      <c r="K253" s="5" t="s">
        <v>37</v>
      </c>
      <c r="L253" s="5" t="s">
        <v>26</v>
      </c>
      <c r="M253" s="5" t="s">
        <v>37</v>
      </c>
      <c r="N253" s="5" t="s">
        <v>38</v>
      </c>
      <c r="O253" s="5">
        <v>7</v>
      </c>
      <c r="P253" s="5">
        <v>159</v>
      </c>
      <c r="Q253" s="5">
        <v>20</v>
      </c>
      <c r="R253" s="5" t="s">
        <v>28</v>
      </c>
      <c r="S253" s="5" t="s">
        <v>29</v>
      </c>
      <c r="T253" s="5" t="s">
        <v>183</v>
      </c>
      <c r="U253" s="7" t="s">
        <v>63</v>
      </c>
    </row>
    <row r="254" spans="1:21" x14ac:dyDescent="0.25">
      <c r="A254" s="4">
        <v>1175370</v>
      </c>
      <c r="B254" s="5" t="s">
        <v>39</v>
      </c>
      <c r="C254" s="6">
        <v>43558</v>
      </c>
      <c r="D254" s="5" t="s">
        <v>354</v>
      </c>
      <c r="E254" s="5" t="s">
        <v>167</v>
      </c>
      <c r="F254" s="5" t="s">
        <v>40</v>
      </c>
      <c r="G254" s="5" t="s">
        <v>21</v>
      </c>
      <c r="H254" s="5" t="s">
        <v>167</v>
      </c>
      <c r="I254" s="5" t="s">
        <v>41</v>
      </c>
      <c r="J254" s="5" t="s">
        <v>33</v>
      </c>
      <c r="K254" s="5" t="s">
        <v>33</v>
      </c>
      <c r="L254" s="5" t="s">
        <v>26</v>
      </c>
      <c r="M254" s="5" t="s">
        <v>41</v>
      </c>
      <c r="N254" s="5" t="s">
        <v>27</v>
      </c>
      <c r="O254" s="5">
        <v>37</v>
      </c>
      <c r="P254" s="5">
        <v>171</v>
      </c>
      <c r="Q254" s="5">
        <v>20</v>
      </c>
      <c r="R254" s="5" t="s">
        <v>28</v>
      </c>
      <c r="S254" s="5" t="s">
        <v>29</v>
      </c>
      <c r="T254" s="5" t="s">
        <v>113</v>
      </c>
      <c r="U254" s="7" t="s">
        <v>91</v>
      </c>
    </row>
    <row r="255" spans="1:21" x14ac:dyDescent="0.25">
      <c r="A255" s="4">
        <v>1175371</v>
      </c>
      <c r="B255" s="5" t="s">
        <v>35</v>
      </c>
      <c r="C255" s="6">
        <v>43559</v>
      </c>
      <c r="D255" s="5" t="s">
        <v>354</v>
      </c>
      <c r="E255" s="5" t="s">
        <v>231</v>
      </c>
      <c r="F255" s="5" t="s">
        <v>222</v>
      </c>
      <c r="G255" s="5" t="s">
        <v>21</v>
      </c>
      <c r="H255" s="5" t="s">
        <v>231</v>
      </c>
      <c r="I255" s="5" t="s">
        <v>229</v>
      </c>
      <c r="J255" s="5" t="s">
        <v>121</v>
      </c>
      <c r="K255" s="5" t="s">
        <v>121</v>
      </c>
      <c r="L255" s="5" t="s">
        <v>26</v>
      </c>
      <c r="M255" s="5" t="s">
        <v>121</v>
      </c>
      <c r="N255" s="5" t="s">
        <v>38</v>
      </c>
      <c r="O255" s="5">
        <v>5</v>
      </c>
      <c r="P255" s="5">
        <v>130</v>
      </c>
      <c r="Q255" s="5">
        <v>20</v>
      </c>
      <c r="R255" s="5" t="s">
        <v>28</v>
      </c>
      <c r="S255" s="5" t="s">
        <v>29</v>
      </c>
      <c r="T255" s="5" t="s">
        <v>118</v>
      </c>
      <c r="U255" s="7" t="s">
        <v>186</v>
      </c>
    </row>
    <row r="256" spans="1:21" x14ac:dyDescent="0.25">
      <c r="A256" s="4">
        <v>1175372</v>
      </c>
      <c r="B256" s="5" t="s">
        <v>195</v>
      </c>
      <c r="C256" s="6">
        <v>43560</v>
      </c>
      <c r="D256" s="5" t="s">
        <v>354</v>
      </c>
      <c r="E256" s="5" t="s">
        <v>160</v>
      </c>
      <c r="F256" s="5" t="s">
        <v>196</v>
      </c>
      <c r="G256" s="5" t="s">
        <v>21</v>
      </c>
      <c r="H256" s="5" t="s">
        <v>160</v>
      </c>
      <c r="I256" s="5" t="s">
        <v>24</v>
      </c>
      <c r="J256" s="5" t="s">
        <v>25</v>
      </c>
      <c r="K256" s="5" t="s">
        <v>25</v>
      </c>
      <c r="L256" s="5" t="s">
        <v>26</v>
      </c>
      <c r="M256" s="5" t="s">
        <v>25</v>
      </c>
      <c r="N256" s="5" t="s">
        <v>38</v>
      </c>
      <c r="O256" s="5">
        <v>5</v>
      </c>
      <c r="P256" s="5">
        <v>206</v>
      </c>
      <c r="Q256" s="5">
        <v>20</v>
      </c>
      <c r="R256" s="5" t="s">
        <v>28</v>
      </c>
      <c r="S256" s="5" t="s">
        <v>29</v>
      </c>
      <c r="T256" s="5" t="s">
        <v>105</v>
      </c>
      <c r="U256" s="7" t="s">
        <v>155</v>
      </c>
    </row>
    <row r="257" spans="1:21" x14ac:dyDescent="0.25">
      <c r="A257" s="4">
        <v>1178393</v>
      </c>
      <c r="B257" s="5" t="s">
        <v>49</v>
      </c>
      <c r="C257" s="6">
        <v>43561</v>
      </c>
      <c r="D257" s="5" t="s">
        <v>354</v>
      </c>
      <c r="E257" s="5" t="s">
        <v>74</v>
      </c>
      <c r="F257" s="5" t="s">
        <v>217</v>
      </c>
      <c r="G257" s="5" t="s">
        <v>21</v>
      </c>
      <c r="H257" s="5" t="s">
        <v>74</v>
      </c>
      <c r="I257" s="5" t="s">
        <v>33</v>
      </c>
      <c r="J257" s="5" t="s">
        <v>32</v>
      </c>
      <c r="K257" s="5" t="s">
        <v>33</v>
      </c>
      <c r="L257" s="5" t="s">
        <v>34</v>
      </c>
      <c r="M257" s="5" t="s">
        <v>33</v>
      </c>
      <c r="N257" s="5" t="s">
        <v>27</v>
      </c>
      <c r="O257" s="5">
        <v>22</v>
      </c>
      <c r="P257" s="5">
        <v>161</v>
      </c>
      <c r="Q257" s="5">
        <v>20</v>
      </c>
      <c r="R257" s="5" t="s">
        <v>28</v>
      </c>
      <c r="S257" s="5" t="s">
        <v>29</v>
      </c>
      <c r="T257" s="5" t="s">
        <v>186</v>
      </c>
      <c r="U257" s="7" t="s">
        <v>91</v>
      </c>
    </row>
    <row r="258" spans="1:21" x14ac:dyDescent="0.25">
      <c r="A258" s="4">
        <v>1178394</v>
      </c>
      <c r="B258" s="5" t="s">
        <v>47</v>
      </c>
      <c r="C258" s="6">
        <v>43561</v>
      </c>
      <c r="D258" s="5" t="s">
        <v>354</v>
      </c>
      <c r="E258" s="5" t="s">
        <v>233</v>
      </c>
      <c r="F258" s="5" t="s">
        <v>215</v>
      </c>
      <c r="G258" s="5" t="s">
        <v>21</v>
      </c>
      <c r="H258" s="5" t="s">
        <v>233</v>
      </c>
      <c r="I258" s="5" t="s">
        <v>41</v>
      </c>
      <c r="J258" s="5" t="s">
        <v>121</v>
      </c>
      <c r="K258" s="5" t="s">
        <v>121</v>
      </c>
      <c r="L258" s="5" t="s">
        <v>26</v>
      </c>
      <c r="M258" s="5" t="s">
        <v>41</v>
      </c>
      <c r="N258" s="5" t="s">
        <v>27</v>
      </c>
      <c r="O258" s="5">
        <v>40</v>
      </c>
      <c r="P258" s="5">
        <v>137</v>
      </c>
      <c r="Q258" s="5">
        <v>20</v>
      </c>
      <c r="R258" s="5" t="s">
        <v>28</v>
      </c>
      <c r="S258" s="5" t="s">
        <v>29</v>
      </c>
      <c r="T258" s="5" t="s">
        <v>183</v>
      </c>
      <c r="U258" s="7" t="s">
        <v>174</v>
      </c>
    </row>
    <row r="259" spans="1:21" x14ac:dyDescent="0.25">
      <c r="A259" s="4">
        <v>1178395</v>
      </c>
      <c r="B259" s="5" t="s">
        <v>195</v>
      </c>
      <c r="C259" s="6">
        <v>43562</v>
      </c>
      <c r="D259" s="5" t="s">
        <v>354</v>
      </c>
      <c r="E259" s="5" t="s">
        <v>234</v>
      </c>
      <c r="F259" s="5" t="s">
        <v>196</v>
      </c>
      <c r="G259" s="5" t="s">
        <v>21</v>
      </c>
      <c r="H259" s="5" t="s">
        <v>234</v>
      </c>
      <c r="I259" s="5" t="s">
        <v>24</v>
      </c>
      <c r="J259" s="5" t="s">
        <v>229</v>
      </c>
      <c r="K259" s="5" t="s">
        <v>229</v>
      </c>
      <c r="L259" s="5" t="s">
        <v>26</v>
      </c>
      <c r="M259" s="5" t="s">
        <v>229</v>
      </c>
      <c r="N259" s="5" t="s">
        <v>38</v>
      </c>
      <c r="O259" s="5">
        <v>4</v>
      </c>
      <c r="P259" s="5">
        <v>150</v>
      </c>
      <c r="Q259" s="5">
        <v>20</v>
      </c>
      <c r="R259" s="5" t="s">
        <v>28</v>
      </c>
      <c r="S259" s="5" t="s">
        <v>29</v>
      </c>
      <c r="T259" s="5" t="s">
        <v>70</v>
      </c>
      <c r="U259" s="7" t="s">
        <v>202</v>
      </c>
    </row>
    <row r="260" spans="1:21" x14ac:dyDescent="0.25">
      <c r="A260" s="4">
        <v>1178396</v>
      </c>
      <c r="B260" s="5" t="s">
        <v>44</v>
      </c>
      <c r="C260" s="6">
        <v>43562</v>
      </c>
      <c r="D260" s="5" t="s">
        <v>354</v>
      </c>
      <c r="E260" s="5" t="s">
        <v>235</v>
      </c>
      <c r="F260" s="5" t="s">
        <v>46</v>
      </c>
      <c r="G260" s="5" t="s">
        <v>21</v>
      </c>
      <c r="H260" s="5" t="s">
        <v>235</v>
      </c>
      <c r="I260" s="5" t="s">
        <v>37</v>
      </c>
      <c r="J260" s="5" t="s">
        <v>25</v>
      </c>
      <c r="K260" s="5" t="s">
        <v>25</v>
      </c>
      <c r="L260" s="5" t="s">
        <v>26</v>
      </c>
      <c r="M260" s="5" t="s">
        <v>25</v>
      </c>
      <c r="N260" s="5" t="s">
        <v>38</v>
      </c>
      <c r="O260" s="5">
        <v>8</v>
      </c>
      <c r="P260" s="5">
        <v>140</v>
      </c>
      <c r="Q260" s="5">
        <v>20</v>
      </c>
      <c r="R260" s="5" t="s">
        <v>28</v>
      </c>
      <c r="S260" s="5" t="s">
        <v>29</v>
      </c>
      <c r="T260" s="5" t="s">
        <v>105</v>
      </c>
      <c r="U260" s="7" t="s">
        <v>155</v>
      </c>
    </row>
    <row r="261" spans="1:21" x14ac:dyDescent="0.25">
      <c r="A261" s="4">
        <v>1178397</v>
      </c>
      <c r="B261" s="5" t="s">
        <v>30</v>
      </c>
      <c r="C261" s="6">
        <v>43563</v>
      </c>
      <c r="D261" s="5" t="s">
        <v>354</v>
      </c>
      <c r="E261" s="5" t="s">
        <v>213</v>
      </c>
      <c r="F261" s="5" t="s">
        <v>214</v>
      </c>
      <c r="G261" s="5" t="s">
        <v>21</v>
      </c>
      <c r="H261" s="5" t="s">
        <v>213</v>
      </c>
      <c r="I261" s="5" t="s">
        <v>121</v>
      </c>
      <c r="J261" s="5" t="s">
        <v>32</v>
      </c>
      <c r="K261" s="5" t="s">
        <v>32</v>
      </c>
      <c r="L261" s="5" t="s">
        <v>26</v>
      </c>
      <c r="M261" s="5" t="s">
        <v>32</v>
      </c>
      <c r="N261" s="5" t="s">
        <v>38</v>
      </c>
      <c r="O261" s="5">
        <v>6</v>
      </c>
      <c r="P261" s="5">
        <v>151</v>
      </c>
      <c r="Q261" s="5">
        <v>20</v>
      </c>
      <c r="R261" s="5" t="s">
        <v>28</v>
      </c>
      <c r="S261" s="5" t="s">
        <v>29</v>
      </c>
      <c r="T261" s="5" t="s">
        <v>183</v>
      </c>
      <c r="U261" s="7" t="s">
        <v>63</v>
      </c>
    </row>
    <row r="262" spans="1:21" x14ac:dyDescent="0.25">
      <c r="A262" s="4">
        <v>1178398</v>
      </c>
      <c r="B262" s="5" t="s">
        <v>49</v>
      </c>
      <c r="C262" s="6">
        <v>43564</v>
      </c>
      <c r="D262" s="5" t="s">
        <v>354</v>
      </c>
      <c r="E262" s="5" t="s">
        <v>236</v>
      </c>
      <c r="F262" s="5" t="s">
        <v>217</v>
      </c>
      <c r="G262" s="5" t="s">
        <v>21</v>
      </c>
      <c r="H262" s="5" t="s">
        <v>236</v>
      </c>
      <c r="I262" s="5" t="s">
        <v>25</v>
      </c>
      <c r="J262" s="5" t="s">
        <v>33</v>
      </c>
      <c r="K262" s="5" t="s">
        <v>33</v>
      </c>
      <c r="L262" s="5" t="s">
        <v>26</v>
      </c>
      <c r="M262" s="5" t="s">
        <v>33</v>
      </c>
      <c r="N262" s="5" t="s">
        <v>38</v>
      </c>
      <c r="O262" s="5">
        <v>7</v>
      </c>
      <c r="P262" s="5">
        <v>109</v>
      </c>
      <c r="Q262" s="5">
        <v>20</v>
      </c>
      <c r="R262" s="5" t="s">
        <v>28</v>
      </c>
      <c r="S262" s="5" t="s">
        <v>29</v>
      </c>
      <c r="T262" s="5" t="s">
        <v>118</v>
      </c>
      <c r="U262" s="7" t="s">
        <v>91</v>
      </c>
    </row>
    <row r="263" spans="1:21" x14ac:dyDescent="0.25">
      <c r="A263" s="4">
        <v>1178399</v>
      </c>
      <c r="B263" s="5" t="s">
        <v>39</v>
      </c>
      <c r="C263" s="6">
        <v>43565</v>
      </c>
      <c r="D263" s="5" t="s">
        <v>354</v>
      </c>
      <c r="E263" s="5" t="s">
        <v>86</v>
      </c>
      <c r="F263" s="5" t="s">
        <v>40</v>
      </c>
      <c r="G263" s="5" t="s">
        <v>21</v>
      </c>
      <c r="H263" s="5" t="s">
        <v>86</v>
      </c>
      <c r="I263" s="5" t="s">
        <v>32</v>
      </c>
      <c r="J263" s="5" t="s">
        <v>41</v>
      </c>
      <c r="K263" s="5" t="s">
        <v>41</v>
      </c>
      <c r="L263" s="5" t="s">
        <v>26</v>
      </c>
      <c r="M263" s="5" t="s">
        <v>41</v>
      </c>
      <c r="N263" s="5" t="s">
        <v>38</v>
      </c>
      <c r="O263" s="5">
        <v>3</v>
      </c>
      <c r="P263" s="5">
        <v>198</v>
      </c>
      <c r="Q263" s="5">
        <v>20</v>
      </c>
      <c r="R263" s="5" t="s">
        <v>28</v>
      </c>
      <c r="S263" s="5" t="s">
        <v>29</v>
      </c>
      <c r="T263" s="5" t="s">
        <v>70</v>
      </c>
      <c r="U263" s="7" t="s">
        <v>202</v>
      </c>
    </row>
    <row r="264" spans="1:21" x14ac:dyDescent="0.25">
      <c r="A264" s="4">
        <v>1178400</v>
      </c>
      <c r="B264" s="5" t="s">
        <v>44</v>
      </c>
      <c r="C264" s="6">
        <v>43566</v>
      </c>
      <c r="D264" s="5" t="s">
        <v>354</v>
      </c>
      <c r="E264" s="5" t="s">
        <v>52</v>
      </c>
      <c r="F264" s="5" t="s">
        <v>46</v>
      </c>
      <c r="G264" s="5" t="s">
        <v>21</v>
      </c>
      <c r="H264" s="5" t="s">
        <v>52</v>
      </c>
      <c r="I264" s="5" t="s">
        <v>37</v>
      </c>
      <c r="J264" s="5" t="s">
        <v>33</v>
      </c>
      <c r="K264" s="5" t="s">
        <v>33</v>
      </c>
      <c r="L264" s="5" t="s">
        <v>26</v>
      </c>
      <c r="M264" s="5" t="s">
        <v>33</v>
      </c>
      <c r="N264" s="5" t="s">
        <v>38</v>
      </c>
      <c r="O264" s="5">
        <v>4</v>
      </c>
      <c r="P264" s="5">
        <v>152</v>
      </c>
      <c r="Q264" s="5">
        <v>20</v>
      </c>
      <c r="R264" s="5" t="s">
        <v>28</v>
      </c>
      <c r="S264" s="5" t="s">
        <v>29</v>
      </c>
      <c r="T264" s="5" t="s">
        <v>113</v>
      </c>
      <c r="U264" s="7" t="s">
        <v>237</v>
      </c>
    </row>
    <row r="265" spans="1:21" x14ac:dyDescent="0.25">
      <c r="A265" s="4">
        <v>1178401</v>
      </c>
      <c r="B265" s="5" t="s">
        <v>42</v>
      </c>
      <c r="C265" s="6">
        <v>43567</v>
      </c>
      <c r="D265" s="5" t="s">
        <v>354</v>
      </c>
      <c r="E265" s="5" t="s">
        <v>98</v>
      </c>
      <c r="F265" s="5" t="s">
        <v>43</v>
      </c>
      <c r="G265" s="5" t="s">
        <v>21</v>
      </c>
      <c r="H265" s="5" t="s">
        <v>98</v>
      </c>
      <c r="I265" s="5" t="s">
        <v>25</v>
      </c>
      <c r="J265" s="5" t="s">
        <v>229</v>
      </c>
      <c r="K265" s="5" t="s">
        <v>229</v>
      </c>
      <c r="L265" s="5" t="s">
        <v>26</v>
      </c>
      <c r="M265" s="5" t="s">
        <v>229</v>
      </c>
      <c r="N265" s="5" t="s">
        <v>38</v>
      </c>
      <c r="O265" s="5">
        <v>7</v>
      </c>
      <c r="P265" s="5">
        <v>179</v>
      </c>
      <c r="Q265" s="5">
        <v>20</v>
      </c>
      <c r="R265" s="5" t="s">
        <v>28</v>
      </c>
      <c r="S265" s="5" t="s">
        <v>29</v>
      </c>
      <c r="T265" s="5" t="s">
        <v>126</v>
      </c>
      <c r="U265" s="7" t="s">
        <v>202</v>
      </c>
    </row>
    <row r="266" spans="1:21" x14ac:dyDescent="0.25">
      <c r="A266" s="4">
        <v>1178402</v>
      </c>
      <c r="B266" s="5" t="s">
        <v>39</v>
      </c>
      <c r="C266" s="6">
        <v>43568</v>
      </c>
      <c r="D266" s="5" t="s">
        <v>354</v>
      </c>
      <c r="E266" s="5" t="s">
        <v>205</v>
      </c>
      <c r="F266" s="5" t="s">
        <v>40</v>
      </c>
      <c r="G266" s="5" t="s">
        <v>21</v>
      </c>
      <c r="H266" s="5" t="s">
        <v>205</v>
      </c>
      <c r="I266" s="5" t="s">
        <v>41</v>
      </c>
      <c r="J266" s="5" t="s">
        <v>37</v>
      </c>
      <c r="K266" s="5" t="s">
        <v>37</v>
      </c>
      <c r="L266" s="5" t="s">
        <v>26</v>
      </c>
      <c r="M266" s="5" t="s">
        <v>37</v>
      </c>
      <c r="N266" s="5" t="s">
        <v>38</v>
      </c>
      <c r="O266" s="5">
        <v>4</v>
      </c>
      <c r="P266" s="5">
        <v>188</v>
      </c>
      <c r="Q266" s="5">
        <v>20</v>
      </c>
      <c r="R266" s="5" t="s">
        <v>28</v>
      </c>
      <c r="S266" s="5" t="s">
        <v>29</v>
      </c>
      <c r="T266" s="5" t="s">
        <v>178</v>
      </c>
      <c r="U266" s="7" t="s">
        <v>174</v>
      </c>
    </row>
    <row r="267" spans="1:21" x14ac:dyDescent="0.25">
      <c r="A267" s="4">
        <v>1178403</v>
      </c>
      <c r="B267" s="5" t="s">
        <v>30</v>
      </c>
      <c r="C267" s="6">
        <v>43568</v>
      </c>
      <c r="D267" s="5" t="s">
        <v>354</v>
      </c>
      <c r="E267" s="5" t="s">
        <v>64</v>
      </c>
      <c r="F267" s="5" t="s">
        <v>214</v>
      </c>
      <c r="G267" s="5" t="s">
        <v>21</v>
      </c>
      <c r="H267" s="5" t="s">
        <v>64</v>
      </c>
      <c r="I267" s="5" t="s">
        <v>32</v>
      </c>
      <c r="J267" s="5" t="s">
        <v>24</v>
      </c>
      <c r="K267" s="5" t="s">
        <v>24</v>
      </c>
      <c r="L267" s="5" t="s">
        <v>26</v>
      </c>
      <c r="M267" s="5" t="s">
        <v>24</v>
      </c>
      <c r="N267" s="5" t="s">
        <v>38</v>
      </c>
      <c r="O267" s="5">
        <v>8</v>
      </c>
      <c r="P267" s="5">
        <v>174</v>
      </c>
      <c r="Q267" s="5">
        <v>20</v>
      </c>
      <c r="R267" s="5" t="s">
        <v>28</v>
      </c>
      <c r="S267" s="5" t="s">
        <v>29</v>
      </c>
      <c r="T267" s="5" t="s">
        <v>70</v>
      </c>
      <c r="U267" s="7" t="s">
        <v>237</v>
      </c>
    </row>
    <row r="268" spans="1:21" x14ac:dyDescent="0.25">
      <c r="A268" s="4">
        <v>1178404</v>
      </c>
      <c r="B268" s="5" t="s">
        <v>42</v>
      </c>
      <c r="C268" s="6">
        <v>43569</v>
      </c>
      <c r="D268" s="5" t="s">
        <v>354</v>
      </c>
      <c r="E268" s="5" t="s">
        <v>238</v>
      </c>
      <c r="F268" s="5" t="s">
        <v>43</v>
      </c>
      <c r="G268" s="5" t="s">
        <v>21</v>
      </c>
      <c r="H268" s="5" t="s">
        <v>238</v>
      </c>
      <c r="I268" s="5" t="s">
        <v>25</v>
      </c>
      <c r="J268" s="5" t="s">
        <v>33</v>
      </c>
      <c r="K268" s="5" t="s">
        <v>33</v>
      </c>
      <c r="L268" s="5" t="s">
        <v>26</v>
      </c>
      <c r="M268" s="5" t="s">
        <v>33</v>
      </c>
      <c r="N268" s="5" t="s">
        <v>38</v>
      </c>
      <c r="O268" s="5">
        <v>5</v>
      </c>
      <c r="P268" s="5">
        <v>162</v>
      </c>
      <c r="Q268" s="5">
        <v>20</v>
      </c>
      <c r="R268" s="5" t="s">
        <v>28</v>
      </c>
      <c r="S268" s="5" t="s">
        <v>29</v>
      </c>
      <c r="T268" s="5" t="s">
        <v>126</v>
      </c>
      <c r="U268" s="7" t="s">
        <v>91</v>
      </c>
    </row>
    <row r="269" spans="1:21" x14ac:dyDescent="0.25">
      <c r="A269" s="4">
        <v>1178405</v>
      </c>
      <c r="B269" s="5" t="s">
        <v>47</v>
      </c>
      <c r="C269" s="6">
        <v>43569</v>
      </c>
      <c r="D269" s="5" t="s">
        <v>354</v>
      </c>
      <c r="E269" s="5" t="s">
        <v>239</v>
      </c>
      <c r="F269" s="5" t="s">
        <v>215</v>
      </c>
      <c r="G269" s="5" t="s">
        <v>21</v>
      </c>
      <c r="H269" s="5" t="s">
        <v>239</v>
      </c>
      <c r="I269" s="5" t="s">
        <v>229</v>
      </c>
      <c r="J269" s="5" t="s">
        <v>121</v>
      </c>
      <c r="K269" s="5" t="s">
        <v>121</v>
      </c>
      <c r="L269" s="5" t="s">
        <v>26</v>
      </c>
      <c r="M269" s="5" t="s">
        <v>229</v>
      </c>
      <c r="N269" s="5" t="s">
        <v>27</v>
      </c>
      <c r="O269" s="5">
        <v>39</v>
      </c>
      <c r="P269" s="5">
        <v>156</v>
      </c>
      <c r="Q269" s="5">
        <v>20</v>
      </c>
      <c r="R269" s="5" t="s">
        <v>28</v>
      </c>
      <c r="S269" s="5" t="s">
        <v>29</v>
      </c>
      <c r="T269" s="5" t="s">
        <v>105</v>
      </c>
      <c r="U269" s="7" t="s">
        <v>113</v>
      </c>
    </row>
    <row r="270" spans="1:21" x14ac:dyDescent="0.25">
      <c r="A270" s="4">
        <v>1178406</v>
      </c>
      <c r="B270" s="5" t="s">
        <v>39</v>
      </c>
      <c r="C270" s="6">
        <v>43570</v>
      </c>
      <c r="D270" s="5" t="s">
        <v>354</v>
      </c>
      <c r="E270" s="5" t="s">
        <v>83</v>
      </c>
      <c r="F270" s="5" t="s">
        <v>40</v>
      </c>
      <c r="G270" s="5" t="s">
        <v>21</v>
      </c>
      <c r="H270" s="5" t="s">
        <v>83</v>
      </c>
      <c r="I270" s="5" t="s">
        <v>24</v>
      </c>
      <c r="J270" s="5" t="s">
        <v>41</v>
      </c>
      <c r="K270" s="5" t="s">
        <v>41</v>
      </c>
      <c r="L270" s="5" t="s">
        <v>26</v>
      </c>
      <c r="M270" s="5" t="s">
        <v>41</v>
      </c>
      <c r="N270" s="5" t="s">
        <v>38</v>
      </c>
      <c r="O270" s="5">
        <v>5</v>
      </c>
      <c r="P270" s="5">
        <v>172</v>
      </c>
      <c r="Q270" s="5">
        <v>20</v>
      </c>
      <c r="R270" s="5" t="s">
        <v>28</v>
      </c>
      <c r="S270" s="5" t="s">
        <v>29</v>
      </c>
      <c r="T270" s="5" t="s">
        <v>63</v>
      </c>
      <c r="U270" s="7" t="s">
        <v>174</v>
      </c>
    </row>
    <row r="271" spans="1:21" x14ac:dyDescent="0.25">
      <c r="A271" s="4">
        <v>1178407</v>
      </c>
      <c r="B271" s="5" t="s">
        <v>30</v>
      </c>
      <c r="C271" s="6">
        <v>43571</v>
      </c>
      <c r="D271" s="5" t="s">
        <v>354</v>
      </c>
      <c r="E271" s="5" t="s">
        <v>87</v>
      </c>
      <c r="F271" s="5" t="s">
        <v>214</v>
      </c>
      <c r="G271" s="5" t="s">
        <v>21</v>
      </c>
      <c r="H271" s="5" t="s">
        <v>87</v>
      </c>
      <c r="I271" s="5" t="s">
        <v>32</v>
      </c>
      <c r="J271" s="5" t="s">
        <v>37</v>
      </c>
      <c r="K271" s="5" t="s">
        <v>37</v>
      </c>
      <c r="L271" s="5" t="s">
        <v>26</v>
      </c>
      <c r="M271" s="5" t="s">
        <v>32</v>
      </c>
      <c r="N271" s="5" t="s">
        <v>27</v>
      </c>
      <c r="O271" s="5">
        <v>12</v>
      </c>
      <c r="P271" s="5">
        <v>183</v>
      </c>
      <c r="Q271" s="5">
        <v>20</v>
      </c>
      <c r="R271" s="5" t="s">
        <v>28</v>
      </c>
      <c r="S271" s="5" t="s">
        <v>29</v>
      </c>
      <c r="T271" s="5" t="s">
        <v>105</v>
      </c>
      <c r="U271" s="7" t="s">
        <v>110</v>
      </c>
    </row>
    <row r="272" spans="1:21" x14ac:dyDescent="0.25">
      <c r="A272" s="4">
        <v>1178408</v>
      </c>
      <c r="B272" s="5" t="s">
        <v>47</v>
      </c>
      <c r="C272" s="6">
        <v>43572</v>
      </c>
      <c r="D272" s="5" t="s">
        <v>354</v>
      </c>
      <c r="E272" s="5" t="s">
        <v>82</v>
      </c>
      <c r="F272" s="5" t="s">
        <v>215</v>
      </c>
      <c r="G272" s="5" t="s">
        <v>21</v>
      </c>
      <c r="H272" s="5" t="s">
        <v>82</v>
      </c>
      <c r="I272" s="5" t="s">
        <v>33</v>
      </c>
      <c r="J272" s="5" t="s">
        <v>121</v>
      </c>
      <c r="K272" s="5" t="s">
        <v>33</v>
      </c>
      <c r="L272" s="5" t="s">
        <v>34</v>
      </c>
      <c r="M272" s="5" t="s">
        <v>121</v>
      </c>
      <c r="N272" s="5" t="s">
        <v>38</v>
      </c>
      <c r="O272" s="5">
        <v>6</v>
      </c>
      <c r="P272" s="5">
        <v>133</v>
      </c>
      <c r="Q272" s="5">
        <v>20</v>
      </c>
      <c r="R272" s="5" t="s">
        <v>28</v>
      </c>
      <c r="S272" s="5" t="s">
        <v>29</v>
      </c>
      <c r="T272" s="5" t="s">
        <v>240</v>
      </c>
      <c r="U272" s="7" t="s">
        <v>237</v>
      </c>
    </row>
    <row r="273" spans="1:21" x14ac:dyDescent="0.25">
      <c r="A273" s="4">
        <v>1178409</v>
      </c>
      <c r="B273" s="5" t="s">
        <v>35</v>
      </c>
      <c r="C273" s="6">
        <v>43573</v>
      </c>
      <c r="D273" s="5" t="s">
        <v>354</v>
      </c>
      <c r="E273" s="5" t="s">
        <v>167</v>
      </c>
      <c r="F273" s="5" t="s">
        <v>222</v>
      </c>
      <c r="G273" s="5" t="s">
        <v>21</v>
      </c>
      <c r="H273" s="5" t="s">
        <v>167</v>
      </c>
      <c r="I273" s="5" t="s">
        <v>41</v>
      </c>
      <c r="J273" s="5" t="s">
        <v>229</v>
      </c>
      <c r="K273" s="5" t="s">
        <v>41</v>
      </c>
      <c r="L273" s="5" t="s">
        <v>34</v>
      </c>
      <c r="M273" s="5" t="s">
        <v>41</v>
      </c>
      <c r="N273" s="5" t="s">
        <v>27</v>
      </c>
      <c r="O273" s="5">
        <v>40</v>
      </c>
      <c r="P273" s="5">
        <v>169</v>
      </c>
      <c r="Q273" s="5">
        <v>20</v>
      </c>
      <c r="R273" s="5" t="s">
        <v>28</v>
      </c>
      <c r="S273" s="5" t="s">
        <v>29</v>
      </c>
      <c r="T273" s="5" t="s">
        <v>113</v>
      </c>
      <c r="U273" s="7" t="s">
        <v>132</v>
      </c>
    </row>
    <row r="274" spans="1:21" x14ac:dyDescent="0.25">
      <c r="A274" s="4">
        <v>1178410</v>
      </c>
      <c r="B274" s="5" t="s">
        <v>42</v>
      </c>
      <c r="C274" s="6">
        <v>43574</v>
      </c>
      <c r="D274" s="5" t="s">
        <v>354</v>
      </c>
      <c r="E274" s="5" t="s">
        <v>92</v>
      </c>
      <c r="F274" s="5" t="s">
        <v>43</v>
      </c>
      <c r="G274" s="5" t="s">
        <v>21</v>
      </c>
      <c r="H274" s="5" t="s">
        <v>92</v>
      </c>
      <c r="I274" s="5" t="s">
        <v>24</v>
      </c>
      <c r="J274" s="5" t="s">
        <v>25</v>
      </c>
      <c r="K274" s="5" t="s">
        <v>25</v>
      </c>
      <c r="L274" s="5" t="s">
        <v>26</v>
      </c>
      <c r="M274" s="5" t="s">
        <v>24</v>
      </c>
      <c r="N274" s="5" t="s">
        <v>27</v>
      </c>
      <c r="O274" s="5">
        <v>10</v>
      </c>
      <c r="P274" s="5">
        <v>214</v>
      </c>
      <c r="Q274" s="5">
        <v>20</v>
      </c>
      <c r="R274" s="5" t="s">
        <v>28</v>
      </c>
      <c r="S274" s="5" t="s">
        <v>29</v>
      </c>
      <c r="T274" s="5" t="s">
        <v>240</v>
      </c>
      <c r="U274" s="7" t="s">
        <v>174</v>
      </c>
    </row>
    <row r="275" spans="1:21" x14ac:dyDescent="0.25">
      <c r="A275" s="4">
        <v>1178411</v>
      </c>
      <c r="B275" s="5" t="s">
        <v>44</v>
      </c>
      <c r="C275" s="6">
        <v>43575</v>
      </c>
      <c r="D275" s="5" t="s">
        <v>354</v>
      </c>
      <c r="E275" s="5" t="s">
        <v>104</v>
      </c>
      <c r="F275" s="5" t="s">
        <v>46</v>
      </c>
      <c r="G275" s="5" t="s">
        <v>21</v>
      </c>
      <c r="H275" s="5" t="s">
        <v>104</v>
      </c>
      <c r="I275" s="5" t="s">
        <v>41</v>
      </c>
      <c r="J275" s="5" t="s">
        <v>37</v>
      </c>
      <c r="K275" s="5" t="s">
        <v>37</v>
      </c>
      <c r="L275" s="5" t="s">
        <v>26</v>
      </c>
      <c r="M275" s="5" t="s">
        <v>37</v>
      </c>
      <c r="N275" s="5" t="s">
        <v>38</v>
      </c>
      <c r="O275" s="5">
        <v>5</v>
      </c>
      <c r="P275" s="5">
        <v>162</v>
      </c>
      <c r="Q275" s="5">
        <v>20</v>
      </c>
      <c r="R275" s="5" t="s">
        <v>28</v>
      </c>
      <c r="S275" s="5" t="s">
        <v>29</v>
      </c>
      <c r="T275" s="5" t="s">
        <v>70</v>
      </c>
      <c r="U275" s="7" t="s">
        <v>202</v>
      </c>
    </row>
    <row r="276" spans="1:21" x14ac:dyDescent="0.25">
      <c r="A276" s="4">
        <v>1178412</v>
      </c>
      <c r="B276" s="5" t="s">
        <v>35</v>
      </c>
      <c r="C276" s="6">
        <v>43575</v>
      </c>
      <c r="D276" s="5" t="s">
        <v>354</v>
      </c>
      <c r="E276" s="5" t="s">
        <v>161</v>
      </c>
      <c r="F276" s="5" t="s">
        <v>222</v>
      </c>
      <c r="G276" s="5" t="s">
        <v>21</v>
      </c>
      <c r="H276" s="5" t="s">
        <v>161</v>
      </c>
      <c r="I276" s="5" t="s">
        <v>32</v>
      </c>
      <c r="J276" s="5" t="s">
        <v>229</v>
      </c>
      <c r="K276" s="5" t="s">
        <v>229</v>
      </c>
      <c r="L276" s="5" t="s">
        <v>26</v>
      </c>
      <c r="M276" s="5" t="s">
        <v>229</v>
      </c>
      <c r="N276" s="5" t="s">
        <v>38</v>
      </c>
      <c r="O276" s="5">
        <v>5</v>
      </c>
      <c r="P276" s="5">
        <v>164</v>
      </c>
      <c r="Q276" s="5">
        <v>20</v>
      </c>
      <c r="R276" s="5" t="s">
        <v>28</v>
      </c>
      <c r="S276" s="5" t="s">
        <v>29</v>
      </c>
      <c r="T276" s="5" t="s">
        <v>118</v>
      </c>
      <c r="U276" s="7" t="s">
        <v>237</v>
      </c>
    </row>
    <row r="277" spans="1:21" x14ac:dyDescent="0.25">
      <c r="A277" s="4">
        <v>1178413</v>
      </c>
      <c r="B277" s="5" t="s">
        <v>47</v>
      </c>
      <c r="C277" s="6">
        <v>43576</v>
      </c>
      <c r="D277" s="5" t="s">
        <v>354</v>
      </c>
      <c r="E277" s="5" t="s">
        <v>241</v>
      </c>
      <c r="F277" s="5" t="s">
        <v>215</v>
      </c>
      <c r="G277" s="5" t="s">
        <v>21</v>
      </c>
      <c r="H277" s="5" t="s">
        <v>241</v>
      </c>
      <c r="I277" s="5" t="s">
        <v>25</v>
      </c>
      <c r="J277" s="5" t="s">
        <v>121</v>
      </c>
      <c r="K277" s="5" t="s">
        <v>121</v>
      </c>
      <c r="L277" s="5" t="s">
        <v>26</v>
      </c>
      <c r="M277" s="5" t="s">
        <v>121</v>
      </c>
      <c r="N277" s="5" t="s">
        <v>38</v>
      </c>
      <c r="O277" s="5">
        <v>9</v>
      </c>
      <c r="P277" s="5">
        <v>160</v>
      </c>
      <c r="Q277" s="5">
        <v>20</v>
      </c>
      <c r="R277" s="5" t="s">
        <v>28</v>
      </c>
      <c r="S277" s="5" t="s">
        <v>29</v>
      </c>
      <c r="T277" s="5" t="s">
        <v>132</v>
      </c>
      <c r="U277" s="7" t="s">
        <v>174</v>
      </c>
    </row>
    <row r="278" spans="1:21" x14ac:dyDescent="0.25">
      <c r="A278" s="4">
        <v>1178414</v>
      </c>
      <c r="B278" s="5" t="s">
        <v>195</v>
      </c>
      <c r="C278" s="6">
        <v>43576</v>
      </c>
      <c r="D278" s="5" t="s">
        <v>354</v>
      </c>
      <c r="E278" s="5" t="s">
        <v>133</v>
      </c>
      <c r="F278" s="5" t="s">
        <v>196</v>
      </c>
      <c r="G278" s="5" t="s">
        <v>21</v>
      </c>
      <c r="H278" s="5" t="s">
        <v>133</v>
      </c>
      <c r="I278" s="5" t="s">
        <v>24</v>
      </c>
      <c r="J278" s="5" t="s">
        <v>33</v>
      </c>
      <c r="K278" s="5" t="s">
        <v>33</v>
      </c>
      <c r="L278" s="5" t="s">
        <v>26</v>
      </c>
      <c r="M278" s="5" t="s">
        <v>24</v>
      </c>
      <c r="N278" s="5" t="s">
        <v>27</v>
      </c>
      <c r="O278" s="5">
        <v>1</v>
      </c>
      <c r="P278" s="5">
        <v>162</v>
      </c>
      <c r="Q278" s="5">
        <v>20</v>
      </c>
      <c r="R278" s="5" t="s">
        <v>28</v>
      </c>
      <c r="S278" s="5" t="s">
        <v>29</v>
      </c>
      <c r="T278" s="5" t="s">
        <v>91</v>
      </c>
      <c r="U278" s="7" t="s">
        <v>110</v>
      </c>
    </row>
    <row r="279" spans="1:21" x14ac:dyDescent="0.25">
      <c r="A279" s="4">
        <v>1178415</v>
      </c>
      <c r="B279" s="5" t="s">
        <v>44</v>
      </c>
      <c r="C279" s="6">
        <v>43577</v>
      </c>
      <c r="D279" s="5" t="s">
        <v>354</v>
      </c>
      <c r="E279" s="5" t="s">
        <v>187</v>
      </c>
      <c r="F279" s="5" t="s">
        <v>46</v>
      </c>
      <c r="G279" s="5" t="s">
        <v>21</v>
      </c>
      <c r="H279" s="5" t="s">
        <v>187</v>
      </c>
      <c r="I279" s="5" t="s">
        <v>37</v>
      </c>
      <c r="J279" s="5" t="s">
        <v>229</v>
      </c>
      <c r="K279" s="5" t="s">
        <v>229</v>
      </c>
      <c r="L279" s="5" t="s">
        <v>26</v>
      </c>
      <c r="M279" s="5" t="s">
        <v>229</v>
      </c>
      <c r="N279" s="5" t="s">
        <v>38</v>
      </c>
      <c r="O279" s="5">
        <v>6</v>
      </c>
      <c r="P279" s="5">
        <v>192</v>
      </c>
      <c r="Q279" s="5">
        <v>20</v>
      </c>
      <c r="R279" s="5" t="s">
        <v>28</v>
      </c>
      <c r="S279" s="5" t="s">
        <v>29</v>
      </c>
      <c r="T279" s="5" t="s">
        <v>178</v>
      </c>
      <c r="U279" s="7" t="s">
        <v>70</v>
      </c>
    </row>
    <row r="280" spans="1:21" x14ac:dyDescent="0.25">
      <c r="A280" s="4">
        <v>1178416</v>
      </c>
      <c r="B280" s="5" t="s">
        <v>49</v>
      </c>
      <c r="C280" s="6">
        <v>43578</v>
      </c>
      <c r="D280" s="5" t="s">
        <v>354</v>
      </c>
      <c r="E280" s="5" t="s">
        <v>45</v>
      </c>
      <c r="F280" s="5" t="s">
        <v>217</v>
      </c>
      <c r="G280" s="5" t="s">
        <v>21</v>
      </c>
      <c r="H280" s="5" t="s">
        <v>45</v>
      </c>
      <c r="I280" s="5" t="s">
        <v>121</v>
      </c>
      <c r="J280" s="5" t="s">
        <v>33</v>
      </c>
      <c r="K280" s="5" t="s">
        <v>33</v>
      </c>
      <c r="L280" s="5" t="s">
        <v>26</v>
      </c>
      <c r="M280" s="5" t="s">
        <v>33</v>
      </c>
      <c r="N280" s="5" t="s">
        <v>38</v>
      </c>
      <c r="O280" s="5">
        <v>6</v>
      </c>
      <c r="P280" s="5">
        <v>176</v>
      </c>
      <c r="Q280" s="5">
        <v>20</v>
      </c>
      <c r="R280" s="5" t="s">
        <v>28</v>
      </c>
      <c r="S280" s="5" t="s">
        <v>29</v>
      </c>
      <c r="T280" s="5" t="s">
        <v>105</v>
      </c>
      <c r="U280" s="7" t="s">
        <v>132</v>
      </c>
    </row>
    <row r="281" spans="1:21" x14ac:dyDescent="0.25">
      <c r="A281" s="4">
        <v>1178417</v>
      </c>
      <c r="B281" s="5" t="s">
        <v>195</v>
      </c>
      <c r="C281" s="6">
        <v>43579</v>
      </c>
      <c r="D281" s="5" t="s">
        <v>354</v>
      </c>
      <c r="E281" s="5" t="s">
        <v>64</v>
      </c>
      <c r="F281" s="5" t="s">
        <v>196</v>
      </c>
      <c r="G281" s="5" t="s">
        <v>21</v>
      </c>
      <c r="H281" s="5" t="s">
        <v>64</v>
      </c>
      <c r="I281" s="5" t="s">
        <v>24</v>
      </c>
      <c r="J281" s="5" t="s">
        <v>32</v>
      </c>
      <c r="K281" s="5" t="s">
        <v>32</v>
      </c>
      <c r="L281" s="5" t="s">
        <v>26</v>
      </c>
      <c r="M281" s="5" t="s">
        <v>24</v>
      </c>
      <c r="N281" s="5" t="s">
        <v>27</v>
      </c>
      <c r="O281" s="5">
        <v>17</v>
      </c>
      <c r="P281" s="5">
        <v>203</v>
      </c>
      <c r="Q281" s="5">
        <v>20</v>
      </c>
      <c r="R281" s="5" t="s">
        <v>28</v>
      </c>
      <c r="S281" s="5" t="s">
        <v>29</v>
      </c>
      <c r="T281" s="5" t="s">
        <v>113</v>
      </c>
      <c r="U281" s="7" t="s">
        <v>118</v>
      </c>
    </row>
    <row r="282" spans="1:21" x14ac:dyDescent="0.25">
      <c r="A282" s="4">
        <v>1178418</v>
      </c>
      <c r="B282" s="5" t="s">
        <v>42</v>
      </c>
      <c r="C282" s="6">
        <v>43580</v>
      </c>
      <c r="D282" s="5" t="s">
        <v>354</v>
      </c>
      <c r="E282" s="5" t="s">
        <v>163</v>
      </c>
      <c r="F282" s="5" t="s">
        <v>43</v>
      </c>
      <c r="G282" s="5" t="s">
        <v>21</v>
      </c>
      <c r="H282" s="5" t="s">
        <v>163</v>
      </c>
      <c r="I282" s="5" t="s">
        <v>25</v>
      </c>
      <c r="J282" s="5" t="s">
        <v>37</v>
      </c>
      <c r="K282" s="5" t="s">
        <v>37</v>
      </c>
      <c r="L282" s="5" t="s">
        <v>26</v>
      </c>
      <c r="M282" s="5" t="s">
        <v>37</v>
      </c>
      <c r="N282" s="5" t="s">
        <v>38</v>
      </c>
      <c r="O282" s="5">
        <v>3</v>
      </c>
      <c r="P282" s="5">
        <v>176</v>
      </c>
      <c r="Q282" s="5">
        <v>20</v>
      </c>
      <c r="R282" s="5" t="s">
        <v>28</v>
      </c>
      <c r="S282" s="5" t="s">
        <v>29</v>
      </c>
      <c r="T282" s="5" t="s">
        <v>183</v>
      </c>
      <c r="U282" s="7" t="s">
        <v>240</v>
      </c>
    </row>
    <row r="283" spans="1:21" x14ac:dyDescent="0.25">
      <c r="A283" s="4">
        <v>1178419</v>
      </c>
      <c r="B283" s="5" t="s">
        <v>49</v>
      </c>
      <c r="C283" s="6">
        <v>43581</v>
      </c>
      <c r="D283" s="5" t="s">
        <v>354</v>
      </c>
      <c r="E283" s="5" t="s">
        <v>72</v>
      </c>
      <c r="F283" s="5" t="s">
        <v>217</v>
      </c>
      <c r="G283" s="5" t="s">
        <v>21</v>
      </c>
      <c r="H283" s="5" t="s">
        <v>72</v>
      </c>
      <c r="I283" s="5" t="s">
        <v>41</v>
      </c>
      <c r="J283" s="5" t="s">
        <v>33</v>
      </c>
      <c r="K283" s="5" t="s">
        <v>33</v>
      </c>
      <c r="L283" s="5" t="s">
        <v>26</v>
      </c>
      <c r="M283" s="5" t="s">
        <v>41</v>
      </c>
      <c r="N283" s="5" t="s">
        <v>27</v>
      </c>
      <c r="O283" s="5">
        <v>46</v>
      </c>
      <c r="P283" s="5">
        <v>156</v>
      </c>
      <c r="Q283" s="5">
        <v>20</v>
      </c>
      <c r="R283" s="5" t="s">
        <v>28</v>
      </c>
      <c r="S283" s="5" t="s">
        <v>29</v>
      </c>
      <c r="T283" s="5" t="s">
        <v>105</v>
      </c>
      <c r="U283" s="7" t="s">
        <v>132</v>
      </c>
    </row>
    <row r="284" spans="1:21" x14ac:dyDescent="0.25">
      <c r="A284" s="4">
        <v>1178420</v>
      </c>
      <c r="B284" s="5" t="s">
        <v>44</v>
      </c>
      <c r="C284" s="6">
        <v>43582</v>
      </c>
      <c r="D284" s="5" t="s">
        <v>354</v>
      </c>
      <c r="E284" s="5" t="s">
        <v>89</v>
      </c>
      <c r="F284" s="5" t="s">
        <v>46</v>
      </c>
      <c r="G284" s="5" t="s">
        <v>21</v>
      </c>
      <c r="H284" s="5" t="s">
        <v>89</v>
      </c>
      <c r="I284" s="5" t="s">
        <v>121</v>
      </c>
      <c r="J284" s="5" t="s">
        <v>37</v>
      </c>
      <c r="K284" s="5" t="s">
        <v>37</v>
      </c>
      <c r="L284" s="5" t="s">
        <v>26</v>
      </c>
      <c r="M284" s="5" t="s">
        <v>37</v>
      </c>
      <c r="N284" s="5" t="s">
        <v>38</v>
      </c>
      <c r="O284" s="5">
        <v>7</v>
      </c>
      <c r="P284" s="5">
        <v>161</v>
      </c>
      <c r="Q284" s="5">
        <v>20</v>
      </c>
      <c r="R284" s="5" t="s">
        <v>28</v>
      </c>
      <c r="S284" s="5" t="s">
        <v>29</v>
      </c>
      <c r="T284" s="5" t="s">
        <v>178</v>
      </c>
      <c r="U284" s="7" t="s">
        <v>202</v>
      </c>
    </row>
    <row r="285" spans="1:21" x14ac:dyDescent="0.25">
      <c r="A285" s="4">
        <v>1178421</v>
      </c>
      <c r="B285" s="5" t="s">
        <v>35</v>
      </c>
      <c r="C285" s="6">
        <v>43583</v>
      </c>
      <c r="D285" s="5" t="s">
        <v>354</v>
      </c>
      <c r="E285" s="5" t="s">
        <v>98</v>
      </c>
      <c r="F285" s="5" t="s">
        <v>222</v>
      </c>
      <c r="G285" s="5" t="s">
        <v>21</v>
      </c>
      <c r="H285" s="5" t="s">
        <v>98</v>
      </c>
      <c r="I285" s="5" t="s">
        <v>229</v>
      </c>
      <c r="J285" s="5" t="s">
        <v>24</v>
      </c>
      <c r="K285" s="5" t="s">
        <v>229</v>
      </c>
      <c r="L285" s="5" t="s">
        <v>34</v>
      </c>
      <c r="M285" s="5" t="s">
        <v>229</v>
      </c>
      <c r="N285" s="5" t="s">
        <v>27</v>
      </c>
      <c r="O285" s="5">
        <v>16</v>
      </c>
      <c r="P285" s="5">
        <v>188</v>
      </c>
      <c r="Q285" s="5">
        <v>20</v>
      </c>
      <c r="R285" s="5" t="s">
        <v>28</v>
      </c>
      <c r="S285" s="5" t="s">
        <v>29</v>
      </c>
      <c r="T285" s="5" t="s">
        <v>113</v>
      </c>
      <c r="U285" s="7" t="s">
        <v>186</v>
      </c>
    </row>
    <row r="286" spans="1:21" x14ac:dyDescent="0.25">
      <c r="A286" s="4">
        <v>1178422</v>
      </c>
      <c r="B286" s="5" t="s">
        <v>42</v>
      </c>
      <c r="C286" s="6">
        <v>43583</v>
      </c>
      <c r="D286" s="5" t="s">
        <v>354</v>
      </c>
      <c r="E286" s="5" t="s">
        <v>160</v>
      </c>
      <c r="F286" s="5" t="s">
        <v>43</v>
      </c>
      <c r="G286" s="5" t="s">
        <v>21</v>
      </c>
      <c r="H286" s="5" t="s">
        <v>160</v>
      </c>
      <c r="I286" s="5" t="s">
        <v>25</v>
      </c>
      <c r="J286" s="5" t="s">
        <v>41</v>
      </c>
      <c r="K286" s="5" t="s">
        <v>41</v>
      </c>
      <c r="L286" s="5" t="s">
        <v>26</v>
      </c>
      <c r="M286" s="5" t="s">
        <v>25</v>
      </c>
      <c r="N286" s="5" t="s">
        <v>27</v>
      </c>
      <c r="O286" s="5">
        <v>34</v>
      </c>
      <c r="P286" s="5">
        <v>233</v>
      </c>
      <c r="Q286" s="5">
        <v>20</v>
      </c>
      <c r="R286" s="5" t="s">
        <v>28</v>
      </c>
      <c r="S286" s="5" t="s">
        <v>29</v>
      </c>
      <c r="T286" s="5" t="s">
        <v>240</v>
      </c>
      <c r="U286" s="7" t="s">
        <v>174</v>
      </c>
    </row>
    <row r="287" spans="1:21" x14ac:dyDescent="0.25">
      <c r="A287" s="4">
        <v>1178423</v>
      </c>
      <c r="B287" s="5" t="s">
        <v>47</v>
      </c>
      <c r="C287" s="6">
        <v>43584</v>
      </c>
      <c r="D287" s="5" t="s">
        <v>354</v>
      </c>
      <c r="E287" s="5" t="s">
        <v>82</v>
      </c>
      <c r="F287" s="5" t="s">
        <v>215</v>
      </c>
      <c r="G287" s="5" t="s">
        <v>21</v>
      </c>
      <c r="H287" s="5" t="s">
        <v>82</v>
      </c>
      <c r="I287" s="5" t="s">
        <v>121</v>
      </c>
      <c r="J287" s="5" t="s">
        <v>32</v>
      </c>
      <c r="K287" s="5" t="s">
        <v>32</v>
      </c>
      <c r="L287" s="5" t="s">
        <v>26</v>
      </c>
      <c r="M287" s="5" t="s">
        <v>121</v>
      </c>
      <c r="N287" s="5" t="s">
        <v>27</v>
      </c>
      <c r="O287" s="5">
        <v>45</v>
      </c>
      <c r="P287" s="5">
        <v>213</v>
      </c>
      <c r="Q287" s="5">
        <v>20</v>
      </c>
      <c r="R287" s="5" t="s">
        <v>28</v>
      </c>
      <c r="S287" s="5" t="s">
        <v>29</v>
      </c>
      <c r="T287" s="5" t="s">
        <v>126</v>
      </c>
      <c r="U287" s="7" t="s">
        <v>70</v>
      </c>
    </row>
    <row r="288" spans="1:21" x14ac:dyDescent="0.25">
      <c r="A288" s="4">
        <v>1178424</v>
      </c>
      <c r="B288" s="5" t="s">
        <v>195</v>
      </c>
      <c r="C288" s="6">
        <v>43585</v>
      </c>
      <c r="D288" s="5" t="s">
        <v>354</v>
      </c>
      <c r="E288" s="5" t="s">
        <v>29</v>
      </c>
      <c r="F288" s="5" t="s">
        <v>196</v>
      </c>
      <c r="G288" s="5" t="s">
        <v>21</v>
      </c>
      <c r="H288" s="5" t="s">
        <v>29</v>
      </c>
      <c r="I288" s="5" t="s">
        <v>24</v>
      </c>
      <c r="J288" s="5" t="s">
        <v>37</v>
      </c>
      <c r="K288" s="5" t="s">
        <v>37</v>
      </c>
      <c r="L288" s="5" t="s">
        <v>26</v>
      </c>
      <c r="M288" s="5" t="s">
        <v>29</v>
      </c>
      <c r="N288" s="5" t="s">
        <v>99</v>
      </c>
      <c r="O288" s="5" t="s">
        <v>29</v>
      </c>
      <c r="P288" s="5">
        <v>63</v>
      </c>
      <c r="Q288" s="5">
        <v>5</v>
      </c>
      <c r="R288" s="5" t="s">
        <v>28</v>
      </c>
      <c r="S288" s="5" t="s">
        <v>29</v>
      </c>
      <c r="T288" s="5" t="s">
        <v>132</v>
      </c>
      <c r="U288" s="7" t="s">
        <v>237</v>
      </c>
    </row>
    <row r="289" spans="1:21" x14ac:dyDescent="0.25">
      <c r="A289" s="4">
        <v>1178425</v>
      </c>
      <c r="B289" s="5" t="s">
        <v>49</v>
      </c>
      <c r="C289" s="6">
        <v>43586</v>
      </c>
      <c r="D289" s="5" t="s">
        <v>354</v>
      </c>
      <c r="E289" s="5" t="s">
        <v>52</v>
      </c>
      <c r="F289" s="5" t="s">
        <v>217</v>
      </c>
      <c r="G289" s="5" t="s">
        <v>21</v>
      </c>
      <c r="H289" s="5" t="s">
        <v>52</v>
      </c>
      <c r="I289" s="5" t="s">
        <v>33</v>
      </c>
      <c r="J289" s="5" t="s">
        <v>229</v>
      </c>
      <c r="K289" s="5" t="s">
        <v>229</v>
      </c>
      <c r="L289" s="5" t="s">
        <v>26</v>
      </c>
      <c r="M289" s="5" t="s">
        <v>33</v>
      </c>
      <c r="N289" s="5" t="s">
        <v>27</v>
      </c>
      <c r="O289" s="5">
        <v>80</v>
      </c>
      <c r="P289" s="5">
        <v>180</v>
      </c>
      <c r="Q289" s="5">
        <v>20</v>
      </c>
      <c r="R289" s="5" t="s">
        <v>28</v>
      </c>
      <c r="S289" s="5" t="s">
        <v>29</v>
      </c>
      <c r="T289" s="5" t="s">
        <v>183</v>
      </c>
      <c r="U289" s="7" t="s">
        <v>174</v>
      </c>
    </row>
    <row r="290" spans="1:21" x14ac:dyDescent="0.25">
      <c r="A290" s="4">
        <v>1178426</v>
      </c>
      <c r="B290" s="5" t="s">
        <v>39</v>
      </c>
      <c r="C290" s="6">
        <v>43587</v>
      </c>
      <c r="D290" s="5" t="s">
        <v>354</v>
      </c>
      <c r="E290" s="5" t="s">
        <v>200</v>
      </c>
      <c r="F290" s="5" t="s">
        <v>40</v>
      </c>
      <c r="G290" s="5" t="s">
        <v>21</v>
      </c>
      <c r="H290" s="5" t="s">
        <v>200</v>
      </c>
      <c r="I290" s="5" t="s">
        <v>41</v>
      </c>
      <c r="J290" s="5" t="s">
        <v>121</v>
      </c>
      <c r="K290" s="5" t="s">
        <v>41</v>
      </c>
      <c r="L290" s="5" t="s">
        <v>34</v>
      </c>
      <c r="M290" s="5" t="s">
        <v>41</v>
      </c>
      <c r="N290" s="5" t="s">
        <v>65</v>
      </c>
      <c r="O290" s="5" t="s">
        <v>29</v>
      </c>
      <c r="P290" s="5">
        <v>163</v>
      </c>
      <c r="Q290" s="5">
        <v>20</v>
      </c>
      <c r="R290" s="5" t="s">
        <v>66</v>
      </c>
      <c r="S290" s="5" t="s">
        <v>29</v>
      </c>
      <c r="T290" s="5" t="s">
        <v>126</v>
      </c>
      <c r="U290" s="7" t="s">
        <v>70</v>
      </c>
    </row>
    <row r="291" spans="1:21" x14ac:dyDescent="0.25">
      <c r="A291" s="4">
        <v>1178427</v>
      </c>
      <c r="B291" s="5" t="s">
        <v>30</v>
      </c>
      <c r="C291" s="6">
        <v>43588</v>
      </c>
      <c r="D291" s="5" t="s">
        <v>354</v>
      </c>
      <c r="E291" s="5" t="s">
        <v>242</v>
      </c>
      <c r="F291" s="5" t="s">
        <v>214</v>
      </c>
      <c r="G291" s="5" t="s">
        <v>21</v>
      </c>
      <c r="H291" s="5" t="s">
        <v>242</v>
      </c>
      <c r="I291" s="5" t="s">
        <v>32</v>
      </c>
      <c r="J291" s="5" t="s">
        <v>25</v>
      </c>
      <c r="K291" s="5" t="s">
        <v>25</v>
      </c>
      <c r="L291" s="5" t="s">
        <v>26</v>
      </c>
      <c r="M291" s="5" t="s">
        <v>25</v>
      </c>
      <c r="N291" s="5" t="s">
        <v>38</v>
      </c>
      <c r="O291" s="5">
        <v>7</v>
      </c>
      <c r="P291" s="5">
        <v>184</v>
      </c>
      <c r="Q291" s="5">
        <v>20</v>
      </c>
      <c r="R291" s="5" t="s">
        <v>28</v>
      </c>
      <c r="S291" s="5" t="s">
        <v>29</v>
      </c>
      <c r="T291" s="5" t="s">
        <v>113</v>
      </c>
      <c r="U291" s="7" t="s">
        <v>118</v>
      </c>
    </row>
    <row r="292" spans="1:21" x14ac:dyDescent="0.25">
      <c r="A292" s="4">
        <v>1178428</v>
      </c>
      <c r="B292" s="5" t="s">
        <v>35</v>
      </c>
      <c r="C292" s="6">
        <v>43589</v>
      </c>
      <c r="D292" s="5" t="s">
        <v>354</v>
      </c>
      <c r="E292" s="5" t="s">
        <v>56</v>
      </c>
      <c r="F292" s="5" t="s">
        <v>222</v>
      </c>
      <c r="G292" s="5" t="s">
        <v>21</v>
      </c>
      <c r="H292" s="5" t="s">
        <v>56</v>
      </c>
      <c r="I292" s="5" t="s">
        <v>37</v>
      </c>
      <c r="J292" s="5" t="s">
        <v>229</v>
      </c>
      <c r="K292" s="5" t="s">
        <v>37</v>
      </c>
      <c r="L292" s="5" t="s">
        <v>34</v>
      </c>
      <c r="M292" s="5" t="s">
        <v>229</v>
      </c>
      <c r="N292" s="5" t="s">
        <v>38</v>
      </c>
      <c r="O292" s="5">
        <v>5</v>
      </c>
      <c r="P292" s="5">
        <v>116</v>
      </c>
      <c r="Q292" s="5">
        <v>20</v>
      </c>
      <c r="R292" s="5" t="s">
        <v>28</v>
      </c>
      <c r="S292" s="5" t="s">
        <v>29</v>
      </c>
      <c r="T292" s="5" t="s">
        <v>183</v>
      </c>
      <c r="U292" s="7" t="s">
        <v>240</v>
      </c>
    </row>
    <row r="293" spans="1:21" x14ac:dyDescent="0.25">
      <c r="A293" s="4">
        <v>1178429</v>
      </c>
      <c r="B293" s="5" t="s">
        <v>195</v>
      </c>
      <c r="C293" s="6">
        <v>43589</v>
      </c>
      <c r="D293" s="5" t="s">
        <v>354</v>
      </c>
      <c r="E293" s="5" t="s">
        <v>243</v>
      </c>
      <c r="F293" s="5" t="s">
        <v>196</v>
      </c>
      <c r="G293" s="5" t="s">
        <v>21</v>
      </c>
      <c r="H293" s="5" t="s">
        <v>243</v>
      </c>
      <c r="I293" s="5" t="s">
        <v>121</v>
      </c>
      <c r="J293" s="5" t="s">
        <v>24</v>
      </c>
      <c r="K293" s="5" t="s">
        <v>24</v>
      </c>
      <c r="L293" s="5" t="s">
        <v>26</v>
      </c>
      <c r="M293" s="5" t="s">
        <v>24</v>
      </c>
      <c r="N293" s="5" t="s">
        <v>38</v>
      </c>
      <c r="O293" s="5">
        <v>4</v>
      </c>
      <c r="P293" s="5">
        <v>176</v>
      </c>
      <c r="Q293" s="5">
        <v>20</v>
      </c>
      <c r="R293" s="5" t="s">
        <v>28</v>
      </c>
      <c r="S293" s="5" t="s">
        <v>29</v>
      </c>
      <c r="T293" s="5" t="s">
        <v>105</v>
      </c>
      <c r="U293" s="7" t="s">
        <v>132</v>
      </c>
    </row>
    <row r="294" spans="1:21" x14ac:dyDescent="0.25">
      <c r="A294" s="4">
        <v>1178430</v>
      </c>
      <c r="B294" s="5" t="s">
        <v>30</v>
      </c>
      <c r="C294" s="6">
        <v>43590</v>
      </c>
      <c r="D294" s="5" t="s">
        <v>354</v>
      </c>
      <c r="E294" s="5" t="s">
        <v>213</v>
      </c>
      <c r="F294" s="5" t="s">
        <v>214</v>
      </c>
      <c r="G294" s="5" t="s">
        <v>21</v>
      </c>
      <c r="H294" s="5" t="s">
        <v>213</v>
      </c>
      <c r="I294" s="5" t="s">
        <v>33</v>
      </c>
      <c r="J294" s="5" t="s">
        <v>32</v>
      </c>
      <c r="K294" s="5" t="s">
        <v>32</v>
      </c>
      <c r="L294" s="5" t="s">
        <v>26</v>
      </c>
      <c r="M294" s="5" t="s">
        <v>32</v>
      </c>
      <c r="N294" s="5" t="s">
        <v>38</v>
      </c>
      <c r="O294" s="5">
        <v>6</v>
      </c>
      <c r="P294" s="5">
        <v>171</v>
      </c>
      <c r="Q294" s="5">
        <v>20</v>
      </c>
      <c r="R294" s="5" t="s">
        <v>28</v>
      </c>
      <c r="S294" s="5" t="s">
        <v>29</v>
      </c>
      <c r="T294" s="5" t="s">
        <v>118</v>
      </c>
      <c r="U294" s="7" t="s">
        <v>186</v>
      </c>
    </row>
    <row r="295" spans="1:21" x14ac:dyDescent="0.25">
      <c r="A295" s="4">
        <v>1178431</v>
      </c>
      <c r="B295" s="5" t="s">
        <v>39</v>
      </c>
      <c r="C295" s="6">
        <v>43590</v>
      </c>
      <c r="D295" s="5" t="s">
        <v>354</v>
      </c>
      <c r="E295" s="5" t="s">
        <v>167</v>
      </c>
      <c r="F295" s="5" t="s">
        <v>40</v>
      </c>
      <c r="G295" s="5" t="s">
        <v>21</v>
      </c>
      <c r="H295" s="5" t="s">
        <v>167</v>
      </c>
      <c r="I295" s="5" t="s">
        <v>25</v>
      </c>
      <c r="J295" s="5" t="s">
        <v>41</v>
      </c>
      <c r="K295" s="5" t="s">
        <v>41</v>
      </c>
      <c r="L295" s="5" t="s">
        <v>26</v>
      </c>
      <c r="M295" s="5" t="s">
        <v>41</v>
      </c>
      <c r="N295" s="5" t="s">
        <v>38</v>
      </c>
      <c r="O295" s="5">
        <v>9</v>
      </c>
      <c r="P295" s="5">
        <v>134</v>
      </c>
      <c r="Q295" s="5">
        <v>20</v>
      </c>
      <c r="R295" s="5" t="s">
        <v>28</v>
      </c>
      <c r="S295" s="5" t="s">
        <v>29</v>
      </c>
      <c r="T295" s="5" t="s">
        <v>178</v>
      </c>
      <c r="U295" s="7" t="s">
        <v>126</v>
      </c>
    </row>
    <row r="296" spans="1:21" x14ac:dyDescent="0.25">
      <c r="A296" s="4">
        <v>1181764</v>
      </c>
      <c r="B296" s="5" t="s">
        <v>49</v>
      </c>
      <c r="C296" s="6">
        <v>43592</v>
      </c>
      <c r="D296" s="5" t="s">
        <v>354</v>
      </c>
      <c r="E296" s="5" t="s">
        <v>181</v>
      </c>
      <c r="F296" s="5" t="s">
        <v>217</v>
      </c>
      <c r="G296" s="5" t="s">
        <v>100</v>
      </c>
      <c r="H296" s="5" t="s">
        <v>181</v>
      </c>
      <c r="I296" s="5" t="s">
        <v>33</v>
      </c>
      <c r="J296" s="5" t="s">
        <v>41</v>
      </c>
      <c r="K296" s="5" t="s">
        <v>33</v>
      </c>
      <c r="L296" s="5" t="s">
        <v>34</v>
      </c>
      <c r="M296" s="5" t="s">
        <v>41</v>
      </c>
      <c r="N296" s="5" t="s">
        <v>38</v>
      </c>
      <c r="O296" s="5">
        <v>6</v>
      </c>
      <c r="P296" s="5">
        <v>132</v>
      </c>
      <c r="Q296" s="5">
        <v>20</v>
      </c>
      <c r="R296" s="5" t="s">
        <v>28</v>
      </c>
      <c r="S296" s="5" t="s">
        <v>29</v>
      </c>
      <c r="T296" s="5" t="s">
        <v>132</v>
      </c>
      <c r="U296" s="7" t="s">
        <v>174</v>
      </c>
    </row>
    <row r="297" spans="1:21" x14ac:dyDescent="0.25">
      <c r="A297" s="4">
        <v>1181766</v>
      </c>
      <c r="B297" s="5" t="s">
        <v>107</v>
      </c>
      <c r="C297" s="6">
        <v>43593</v>
      </c>
      <c r="D297" s="5" t="s">
        <v>354</v>
      </c>
      <c r="E297" s="5" t="s">
        <v>187</v>
      </c>
      <c r="F297" s="5" t="s">
        <v>109</v>
      </c>
      <c r="G297" s="5" t="s">
        <v>136</v>
      </c>
      <c r="H297" s="5" t="s">
        <v>187</v>
      </c>
      <c r="I297" s="5" t="s">
        <v>121</v>
      </c>
      <c r="J297" s="5" t="s">
        <v>229</v>
      </c>
      <c r="K297" s="5" t="s">
        <v>229</v>
      </c>
      <c r="L297" s="5" t="s">
        <v>26</v>
      </c>
      <c r="M297" s="5" t="s">
        <v>229</v>
      </c>
      <c r="N297" s="5" t="s">
        <v>38</v>
      </c>
      <c r="O297" s="5">
        <v>2</v>
      </c>
      <c r="P297" s="5">
        <v>163</v>
      </c>
      <c r="Q297" s="5">
        <v>20</v>
      </c>
      <c r="R297" s="5" t="s">
        <v>28</v>
      </c>
      <c r="S297" s="5" t="s">
        <v>29</v>
      </c>
      <c r="T297" s="5" t="s">
        <v>113</v>
      </c>
      <c r="U297" s="7" t="s">
        <v>70</v>
      </c>
    </row>
    <row r="298" spans="1:21" x14ac:dyDescent="0.25">
      <c r="A298" s="4">
        <v>1181767</v>
      </c>
      <c r="B298" s="5" t="s">
        <v>107</v>
      </c>
      <c r="C298" s="6">
        <v>43595</v>
      </c>
      <c r="D298" s="5" t="s">
        <v>354</v>
      </c>
      <c r="E298" s="5" t="s">
        <v>114</v>
      </c>
      <c r="F298" s="5" t="s">
        <v>109</v>
      </c>
      <c r="G298" s="5" t="s">
        <v>102</v>
      </c>
      <c r="H298" s="5" t="s">
        <v>114</v>
      </c>
      <c r="I298" s="5" t="s">
        <v>229</v>
      </c>
      <c r="J298" s="5" t="s">
        <v>33</v>
      </c>
      <c r="K298" s="5" t="s">
        <v>33</v>
      </c>
      <c r="L298" s="5" t="s">
        <v>26</v>
      </c>
      <c r="M298" s="5" t="s">
        <v>33</v>
      </c>
      <c r="N298" s="5" t="s">
        <v>38</v>
      </c>
      <c r="O298" s="5">
        <v>6</v>
      </c>
      <c r="P298" s="5">
        <v>148</v>
      </c>
      <c r="Q298" s="5">
        <v>20</v>
      </c>
      <c r="R298" s="5" t="s">
        <v>28</v>
      </c>
      <c r="S298" s="5" t="s">
        <v>29</v>
      </c>
      <c r="T298" s="5" t="s">
        <v>113</v>
      </c>
      <c r="U298" s="7" t="s">
        <v>70</v>
      </c>
    </row>
    <row r="299" spans="1:21" x14ac:dyDescent="0.25">
      <c r="A299" s="4">
        <v>1181768</v>
      </c>
      <c r="B299" s="5" t="s">
        <v>47</v>
      </c>
      <c r="C299" s="6">
        <v>43597</v>
      </c>
      <c r="D299" s="5" t="s">
        <v>354</v>
      </c>
      <c r="E299" s="5" t="s">
        <v>200</v>
      </c>
      <c r="F299" s="5" t="s">
        <v>215</v>
      </c>
      <c r="G299" s="5" t="s">
        <v>61</v>
      </c>
      <c r="H299" s="5" t="s">
        <v>200</v>
      </c>
      <c r="I299" s="5" t="s">
        <v>41</v>
      </c>
      <c r="J299" s="5" t="s">
        <v>33</v>
      </c>
      <c r="K299" s="5" t="s">
        <v>41</v>
      </c>
      <c r="L299" s="5" t="s">
        <v>34</v>
      </c>
      <c r="M299" s="5" t="s">
        <v>41</v>
      </c>
      <c r="N299" s="5" t="s">
        <v>27</v>
      </c>
      <c r="O299" s="5">
        <v>1</v>
      </c>
      <c r="P299" s="5">
        <v>150</v>
      </c>
      <c r="Q299" s="5">
        <v>20</v>
      </c>
      <c r="R299" s="5" t="s">
        <v>28</v>
      </c>
      <c r="S299" s="5" t="s">
        <v>29</v>
      </c>
      <c r="T299" s="5" t="s">
        <v>240</v>
      </c>
      <c r="U299" s="7" t="s">
        <v>174</v>
      </c>
    </row>
    <row r="300" spans="1:21" x14ac:dyDescent="0.25">
      <c r="A300" s="4">
        <v>1216492</v>
      </c>
      <c r="B300" s="5" t="s">
        <v>137</v>
      </c>
      <c r="C300" s="6">
        <v>44093</v>
      </c>
      <c r="D300" s="5" t="s">
        <v>355</v>
      </c>
      <c r="E300" s="5" t="s">
        <v>84</v>
      </c>
      <c r="F300" s="5" t="s">
        <v>138</v>
      </c>
      <c r="G300" s="5" t="s">
        <v>21</v>
      </c>
      <c r="H300" s="5" t="s">
        <v>84</v>
      </c>
      <c r="I300" s="5" t="s">
        <v>41</v>
      </c>
      <c r="J300" s="5" t="s">
        <v>33</v>
      </c>
      <c r="K300" s="5" t="s">
        <v>33</v>
      </c>
      <c r="L300" s="5" t="s">
        <v>26</v>
      </c>
      <c r="M300" s="5" t="s">
        <v>33</v>
      </c>
      <c r="N300" s="5" t="s">
        <v>38</v>
      </c>
      <c r="O300" s="5">
        <v>5</v>
      </c>
      <c r="P300" s="5">
        <v>163</v>
      </c>
      <c r="Q300" s="5">
        <v>20</v>
      </c>
      <c r="R300" s="5" t="s">
        <v>28</v>
      </c>
      <c r="S300" s="5" t="s">
        <v>29</v>
      </c>
      <c r="T300" s="5" t="s">
        <v>155</v>
      </c>
      <c r="U300" s="7" t="s">
        <v>173</v>
      </c>
    </row>
    <row r="301" spans="1:21" x14ac:dyDescent="0.25">
      <c r="A301" s="4">
        <v>1216493</v>
      </c>
      <c r="B301" s="5" t="s">
        <v>29</v>
      </c>
      <c r="C301" s="6">
        <v>44094</v>
      </c>
      <c r="D301" s="5" t="s">
        <v>355</v>
      </c>
      <c r="E301" s="5" t="s">
        <v>188</v>
      </c>
      <c r="F301" s="5" t="s">
        <v>143</v>
      </c>
      <c r="G301" s="5" t="s">
        <v>21</v>
      </c>
      <c r="H301" s="5" t="s">
        <v>188</v>
      </c>
      <c r="I301" s="5" t="s">
        <v>229</v>
      </c>
      <c r="J301" s="5" t="s">
        <v>32</v>
      </c>
      <c r="K301" s="5" t="s">
        <v>32</v>
      </c>
      <c r="L301" s="5" t="s">
        <v>26</v>
      </c>
      <c r="M301" s="5" t="s">
        <v>229</v>
      </c>
      <c r="N301" s="5" t="s">
        <v>65</v>
      </c>
      <c r="O301" s="5" t="s">
        <v>29</v>
      </c>
      <c r="P301" s="5">
        <v>158</v>
      </c>
      <c r="Q301" s="5">
        <v>20</v>
      </c>
      <c r="R301" s="5" t="s">
        <v>66</v>
      </c>
      <c r="S301" s="5" t="s">
        <v>29</v>
      </c>
      <c r="T301" s="5" t="s">
        <v>105</v>
      </c>
      <c r="U301" s="7" t="s">
        <v>174</v>
      </c>
    </row>
    <row r="302" spans="1:21" x14ac:dyDescent="0.25">
      <c r="A302" s="4">
        <v>1216534</v>
      </c>
      <c r="B302" s="5" t="s">
        <v>29</v>
      </c>
      <c r="C302" s="6">
        <v>44095</v>
      </c>
      <c r="D302" s="5" t="s">
        <v>355</v>
      </c>
      <c r="E302" s="5" t="s">
        <v>140</v>
      </c>
      <c r="F302" s="5" t="s">
        <v>143</v>
      </c>
      <c r="G302" s="5" t="s">
        <v>21</v>
      </c>
      <c r="H302" s="5" t="s">
        <v>140</v>
      </c>
      <c r="I302" s="5" t="s">
        <v>24</v>
      </c>
      <c r="J302" s="5" t="s">
        <v>121</v>
      </c>
      <c r="K302" s="5" t="s">
        <v>121</v>
      </c>
      <c r="L302" s="5" t="s">
        <v>26</v>
      </c>
      <c r="M302" s="5" t="s">
        <v>24</v>
      </c>
      <c r="N302" s="5" t="s">
        <v>27</v>
      </c>
      <c r="O302" s="5">
        <v>10</v>
      </c>
      <c r="P302" s="5">
        <v>164</v>
      </c>
      <c r="Q302" s="5">
        <v>20</v>
      </c>
      <c r="R302" s="5" t="s">
        <v>28</v>
      </c>
      <c r="S302" s="5" t="s">
        <v>29</v>
      </c>
      <c r="T302" s="5" t="s">
        <v>183</v>
      </c>
      <c r="U302" s="7" t="s">
        <v>174</v>
      </c>
    </row>
    <row r="303" spans="1:21" x14ac:dyDescent="0.25">
      <c r="A303" s="4">
        <v>1216496</v>
      </c>
      <c r="B303" s="5" t="s">
        <v>29</v>
      </c>
      <c r="C303" s="6">
        <v>44096</v>
      </c>
      <c r="D303" s="5" t="s">
        <v>355</v>
      </c>
      <c r="E303" s="5" t="s">
        <v>131</v>
      </c>
      <c r="F303" s="5" t="s">
        <v>141</v>
      </c>
      <c r="G303" s="5" t="s">
        <v>21</v>
      </c>
      <c r="H303" s="5" t="s">
        <v>131</v>
      </c>
      <c r="I303" s="5" t="s">
        <v>37</v>
      </c>
      <c r="J303" s="5" t="s">
        <v>33</v>
      </c>
      <c r="K303" s="5" t="s">
        <v>33</v>
      </c>
      <c r="L303" s="5" t="s">
        <v>26</v>
      </c>
      <c r="M303" s="5" t="s">
        <v>37</v>
      </c>
      <c r="N303" s="5" t="s">
        <v>27</v>
      </c>
      <c r="O303" s="5">
        <v>16</v>
      </c>
      <c r="P303" s="5">
        <v>217</v>
      </c>
      <c r="Q303" s="5">
        <v>20</v>
      </c>
      <c r="R303" s="5" t="s">
        <v>28</v>
      </c>
      <c r="S303" s="5" t="s">
        <v>29</v>
      </c>
      <c r="T303" s="5" t="s">
        <v>118</v>
      </c>
      <c r="U303" s="7" t="s">
        <v>110</v>
      </c>
    </row>
    <row r="304" spans="1:21" x14ac:dyDescent="0.25">
      <c r="A304" s="4">
        <v>1216508</v>
      </c>
      <c r="B304" s="5" t="s">
        <v>137</v>
      </c>
      <c r="C304" s="6">
        <v>44097</v>
      </c>
      <c r="D304" s="5" t="s">
        <v>355</v>
      </c>
      <c r="E304" s="5" t="s">
        <v>72</v>
      </c>
      <c r="F304" s="5" t="s">
        <v>138</v>
      </c>
      <c r="G304" s="5" t="s">
        <v>21</v>
      </c>
      <c r="H304" s="5" t="s">
        <v>72</v>
      </c>
      <c r="I304" s="5" t="s">
        <v>41</v>
      </c>
      <c r="J304" s="5" t="s">
        <v>25</v>
      </c>
      <c r="K304" s="5" t="s">
        <v>25</v>
      </c>
      <c r="L304" s="5" t="s">
        <v>26</v>
      </c>
      <c r="M304" s="5" t="s">
        <v>41</v>
      </c>
      <c r="N304" s="5" t="s">
        <v>27</v>
      </c>
      <c r="O304" s="5">
        <v>49</v>
      </c>
      <c r="P304" s="5">
        <v>196</v>
      </c>
      <c r="Q304" s="5">
        <v>20</v>
      </c>
      <c r="R304" s="5" t="s">
        <v>28</v>
      </c>
      <c r="S304" s="5" t="s">
        <v>29</v>
      </c>
      <c r="T304" s="5" t="s">
        <v>155</v>
      </c>
      <c r="U304" s="7" t="s">
        <v>70</v>
      </c>
    </row>
    <row r="305" spans="1:21" x14ac:dyDescent="0.25">
      <c r="A305" s="4">
        <v>1216510</v>
      </c>
      <c r="B305" s="5" t="s">
        <v>29</v>
      </c>
      <c r="C305" s="6">
        <v>44098</v>
      </c>
      <c r="D305" s="5" t="s">
        <v>355</v>
      </c>
      <c r="E305" s="5" t="s">
        <v>213</v>
      </c>
      <c r="F305" s="5" t="s">
        <v>143</v>
      </c>
      <c r="G305" s="5" t="s">
        <v>21</v>
      </c>
      <c r="H305" s="5" t="s">
        <v>213</v>
      </c>
      <c r="I305" s="5" t="s">
        <v>32</v>
      </c>
      <c r="J305" s="5" t="s">
        <v>24</v>
      </c>
      <c r="K305" s="5" t="s">
        <v>24</v>
      </c>
      <c r="L305" s="5" t="s">
        <v>26</v>
      </c>
      <c r="M305" s="5" t="s">
        <v>32</v>
      </c>
      <c r="N305" s="5" t="s">
        <v>27</v>
      </c>
      <c r="O305" s="5">
        <v>97</v>
      </c>
      <c r="P305" s="5">
        <v>207</v>
      </c>
      <c r="Q305" s="5">
        <v>20</v>
      </c>
      <c r="R305" s="5" t="s">
        <v>28</v>
      </c>
      <c r="S305" s="5" t="s">
        <v>29</v>
      </c>
      <c r="T305" s="5" t="s">
        <v>105</v>
      </c>
      <c r="U305" s="7" t="s">
        <v>90</v>
      </c>
    </row>
    <row r="306" spans="1:21" x14ac:dyDescent="0.25">
      <c r="A306" s="4">
        <v>1216539</v>
      </c>
      <c r="B306" s="5" t="s">
        <v>29</v>
      </c>
      <c r="C306" s="6">
        <v>44099</v>
      </c>
      <c r="D306" s="5" t="s">
        <v>355</v>
      </c>
      <c r="E306" s="5" t="s">
        <v>230</v>
      </c>
      <c r="F306" s="5" t="s">
        <v>143</v>
      </c>
      <c r="G306" s="5" t="s">
        <v>21</v>
      </c>
      <c r="H306" s="5" t="s">
        <v>230</v>
      </c>
      <c r="I306" s="5" t="s">
        <v>229</v>
      </c>
      <c r="J306" s="5" t="s">
        <v>33</v>
      </c>
      <c r="K306" s="5" t="s">
        <v>33</v>
      </c>
      <c r="L306" s="5" t="s">
        <v>26</v>
      </c>
      <c r="M306" s="5" t="s">
        <v>229</v>
      </c>
      <c r="N306" s="5" t="s">
        <v>27</v>
      </c>
      <c r="O306" s="5">
        <v>44</v>
      </c>
      <c r="P306" s="5">
        <v>176</v>
      </c>
      <c r="Q306" s="5">
        <v>20</v>
      </c>
      <c r="R306" s="5" t="s">
        <v>28</v>
      </c>
      <c r="S306" s="5" t="s">
        <v>29</v>
      </c>
      <c r="T306" s="5" t="s">
        <v>186</v>
      </c>
      <c r="U306" s="7" t="s">
        <v>139</v>
      </c>
    </row>
    <row r="307" spans="1:21" x14ac:dyDescent="0.25">
      <c r="A307" s="4">
        <v>1216545</v>
      </c>
      <c r="B307" s="5" t="s">
        <v>137</v>
      </c>
      <c r="C307" s="6">
        <v>44100</v>
      </c>
      <c r="D307" s="5" t="s">
        <v>355</v>
      </c>
      <c r="E307" s="5" t="s">
        <v>242</v>
      </c>
      <c r="F307" s="5" t="s">
        <v>138</v>
      </c>
      <c r="G307" s="5" t="s">
        <v>21</v>
      </c>
      <c r="H307" s="5" t="s">
        <v>242</v>
      </c>
      <c r="I307" s="5" t="s">
        <v>121</v>
      </c>
      <c r="J307" s="5" t="s">
        <v>25</v>
      </c>
      <c r="K307" s="5" t="s">
        <v>121</v>
      </c>
      <c r="L307" s="5" t="s">
        <v>34</v>
      </c>
      <c r="M307" s="5" t="s">
        <v>25</v>
      </c>
      <c r="N307" s="5" t="s">
        <v>38</v>
      </c>
      <c r="O307" s="5">
        <v>7</v>
      </c>
      <c r="P307" s="5">
        <v>143</v>
      </c>
      <c r="Q307" s="5">
        <v>20</v>
      </c>
      <c r="R307" s="5" t="s">
        <v>28</v>
      </c>
      <c r="S307" s="5" t="s">
        <v>29</v>
      </c>
      <c r="T307" s="5" t="s">
        <v>155</v>
      </c>
      <c r="U307" s="7" t="s">
        <v>173</v>
      </c>
    </row>
    <row r="308" spans="1:21" x14ac:dyDescent="0.25">
      <c r="A308" s="4">
        <v>1216527</v>
      </c>
      <c r="B308" s="5" t="s">
        <v>29</v>
      </c>
      <c r="C308" s="6">
        <v>44101</v>
      </c>
      <c r="D308" s="5" t="s">
        <v>355</v>
      </c>
      <c r="E308" s="5" t="s">
        <v>131</v>
      </c>
      <c r="F308" s="5" t="s">
        <v>141</v>
      </c>
      <c r="G308" s="5" t="s">
        <v>21</v>
      </c>
      <c r="H308" s="5" t="s">
        <v>131</v>
      </c>
      <c r="I308" s="5" t="s">
        <v>32</v>
      </c>
      <c r="J308" s="5" t="s">
        <v>37</v>
      </c>
      <c r="K308" s="5" t="s">
        <v>37</v>
      </c>
      <c r="L308" s="5" t="s">
        <v>26</v>
      </c>
      <c r="M308" s="5" t="s">
        <v>37</v>
      </c>
      <c r="N308" s="5" t="s">
        <v>38</v>
      </c>
      <c r="O308" s="5">
        <v>4</v>
      </c>
      <c r="P308" s="5">
        <v>224</v>
      </c>
      <c r="Q308" s="5">
        <v>20</v>
      </c>
      <c r="R308" s="5" t="s">
        <v>28</v>
      </c>
      <c r="S308" s="5" t="s">
        <v>29</v>
      </c>
      <c r="T308" s="5" t="s">
        <v>139</v>
      </c>
      <c r="U308" s="7" t="s">
        <v>158</v>
      </c>
    </row>
    <row r="309" spans="1:21" x14ac:dyDescent="0.25">
      <c r="A309" s="4">
        <v>1216547</v>
      </c>
      <c r="B309" s="5" t="s">
        <v>29</v>
      </c>
      <c r="C309" s="6">
        <v>44102</v>
      </c>
      <c r="D309" s="5" t="s">
        <v>355</v>
      </c>
      <c r="E309" s="5" t="s">
        <v>64</v>
      </c>
      <c r="F309" s="5" t="s">
        <v>143</v>
      </c>
      <c r="G309" s="5" t="s">
        <v>21</v>
      </c>
      <c r="H309" s="5" t="s">
        <v>64</v>
      </c>
      <c r="I309" s="5" t="s">
        <v>24</v>
      </c>
      <c r="J309" s="5" t="s">
        <v>41</v>
      </c>
      <c r="K309" s="5" t="s">
        <v>41</v>
      </c>
      <c r="L309" s="5" t="s">
        <v>26</v>
      </c>
      <c r="M309" s="5" t="s">
        <v>24</v>
      </c>
      <c r="N309" s="5" t="s">
        <v>65</v>
      </c>
      <c r="O309" s="5" t="s">
        <v>29</v>
      </c>
      <c r="P309" s="5">
        <v>202</v>
      </c>
      <c r="Q309" s="5">
        <v>20</v>
      </c>
      <c r="R309" s="5" t="s">
        <v>66</v>
      </c>
      <c r="S309" s="5" t="s">
        <v>29</v>
      </c>
      <c r="T309" s="5" t="s">
        <v>174</v>
      </c>
      <c r="U309" s="7" t="s">
        <v>90</v>
      </c>
    </row>
    <row r="310" spans="1:21" x14ac:dyDescent="0.25">
      <c r="A310" s="4">
        <v>1216532</v>
      </c>
      <c r="B310" s="5" t="s">
        <v>137</v>
      </c>
      <c r="C310" s="6">
        <v>44103</v>
      </c>
      <c r="D310" s="5" t="s">
        <v>355</v>
      </c>
      <c r="E310" s="5" t="s">
        <v>197</v>
      </c>
      <c r="F310" s="5" t="s">
        <v>138</v>
      </c>
      <c r="G310" s="5" t="s">
        <v>21</v>
      </c>
      <c r="H310" s="5" t="s">
        <v>197</v>
      </c>
      <c r="I310" s="5" t="s">
        <v>121</v>
      </c>
      <c r="J310" s="5" t="s">
        <v>229</v>
      </c>
      <c r="K310" s="5" t="s">
        <v>229</v>
      </c>
      <c r="L310" s="5" t="s">
        <v>26</v>
      </c>
      <c r="M310" s="5" t="s">
        <v>121</v>
      </c>
      <c r="N310" s="5" t="s">
        <v>27</v>
      </c>
      <c r="O310" s="5">
        <v>15</v>
      </c>
      <c r="P310" s="5">
        <v>163</v>
      </c>
      <c r="Q310" s="5">
        <v>20</v>
      </c>
      <c r="R310" s="5" t="s">
        <v>28</v>
      </c>
      <c r="S310" s="5" t="s">
        <v>29</v>
      </c>
      <c r="T310" s="5" t="s">
        <v>173</v>
      </c>
      <c r="U310" s="7" t="s">
        <v>70</v>
      </c>
    </row>
    <row r="311" spans="1:21" x14ac:dyDescent="0.25">
      <c r="A311" s="4">
        <v>1216504</v>
      </c>
      <c r="B311" s="5" t="s">
        <v>29</v>
      </c>
      <c r="C311" s="6">
        <v>44104</v>
      </c>
      <c r="D311" s="5" t="s">
        <v>355</v>
      </c>
      <c r="E311" s="5" t="s">
        <v>244</v>
      </c>
      <c r="F311" s="5" t="s">
        <v>143</v>
      </c>
      <c r="G311" s="5" t="s">
        <v>21</v>
      </c>
      <c r="H311" s="5" t="s">
        <v>244</v>
      </c>
      <c r="I311" s="5" t="s">
        <v>25</v>
      </c>
      <c r="J311" s="5" t="s">
        <v>37</v>
      </c>
      <c r="K311" s="5" t="s">
        <v>37</v>
      </c>
      <c r="L311" s="5" t="s">
        <v>26</v>
      </c>
      <c r="M311" s="5" t="s">
        <v>25</v>
      </c>
      <c r="N311" s="5" t="s">
        <v>27</v>
      </c>
      <c r="O311" s="5">
        <v>37</v>
      </c>
      <c r="P311" s="5">
        <v>175</v>
      </c>
      <c r="Q311" s="5">
        <v>20</v>
      </c>
      <c r="R311" s="5" t="s">
        <v>28</v>
      </c>
      <c r="S311" s="5" t="s">
        <v>29</v>
      </c>
      <c r="T311" s="5" t="s">
        <v>186</v>
      </c>
      <c r="U311" s="7" t="s">
        <v>118</v>
      </c>
    </row>
    <row r="312" spans="1:21" x14ac:dyDescent="0.25">
      <c r="A312" s="4">
        <v>1216503</v>
      </c>
      <c r="B312" s="5" t="s">
        <v>137</v>
      </c>
      <c r="C312" s="6">
        <v>44105</v>
      </c>
      <c r="D312" s="5" t="s">
        <v>355</v>
      </c>
      <c r="E312" s="5" t="s">
        <v>86</v>
      </c>
      <c r="F312" s="5" t="s">
        <v>138</v>
      </c>
      <c r="G312" s="5" t="s">
        <v>21</v>
      </c>
      <c r="H312" s="5" t="s">
        <v>86</v>
      </c>
      <c r="I312" s="5" t="s">
        <v>41</v>
      </c>
      <c r="J312" s="5" t="s">
        <v>32</v>
      </c>
      <c r="K312" s="5" t="s">
        <v>32</v>
      </c>
      <c r="L312" s="5" t="s">
        <v>26</v>
      </c>
      <c r="M312" s="5" t="s">
        <v>41</v>
      </c>
      <c r="N312" s="5" t="s">
        <v>27</v>
      </c>
      <c r="O312" s="5">
        <v>48</v>
      </c>
      <c r="P312" s="5">
        <v>192</v>
      </c>
      <c r="Q312" s="5">
        <v>20</v>
      </c>
      <c r="R312" s="5" t="s">
        <v>28</v>
      </c>
      <c r="S312" s="5" t="s">
        <v>29</v>
      </c>
      <c r="T312" s="5" t="s">
        <v>173</v>
      </c>
      <c r="U312" s="7" t="s">
        <v>70</v>
      </c>
    </row>
    <row r="313" spans="1:21" x14ac:dyDescent="0.25">
      <c r="A313" s="4">
        <v>1216516</v>
      </c>
      <c r="B313" s="5" t="s">
        <v>29</v>
      </c>
      <c r="C313" s="6">
        <v>44106</v>
      </c>
      <c r="D313" s="5" t="s">
        <v>355</v>
      </c>
      <c r="E313" s="5" t="s">
        <v>245</v>
      </c>
      <c r="F313" s="5" t="s">
        <v>143</v>
      </c>
      <c r="G313" s="5" t="s">
        <v>21</v>
      </c>
      <c r="H313" s="5" t="s">
        <v>245</v>
      </c>
      <c r="I313" s="5" t="s">
        <v>121</v>
      </c>
      <c r="J313" s="5" t="s">
        <v>33</v>
      </c>
      <c r="K313" s="5" t="s">
        <v>121</v>
      </c>
      <c r="L313" s="5" t="s">
        <v>34</v>
      </c>
      <c r="M313" s="5" t="s">
        <v>121</v>
      </c>
      <c r="N313" s="5" t="s">
        <v>27</v>
      </c>
      <c r="O313" s="5">
        <v>7</v>
      </c>
      <c r="P313" s="5">
        <v>165</v>
      </c>
      <c r="Q313" s="5">
        <v>20</v>
      </c>
      <c r="R313" s="5" t="s">
        <v>28</v>
      </c>
      <c r="S313" s="5" t="s">
        <v>29</v>
      </c>
      <c r="T313" s="5" t="s">
        <v>105</v>
      </c>
      <c r="U313" s="7" t="s">
        <v>90</v>
      </c>
    </row>
    <row r="314" spans="1:21" x14ac:dyDescent="0.25">
      <c r="A314" s="4">
        <v>1216514</v>
      </c>
      <c r="B314" s="5" t="s">
        <v>137</v>
      </c>
      <c r="C314" s="6">
        <v>44107</v>
      </c>
      <c r="D314" s="5" t="s">
        <v>355</v>
      </c>
      <c r="E314" s="5" t="s">
        <v>140</v>
      </c>
      <c r="F314" s="5" t="s">
        <v>138</v>
      </c>
      <c r="G314" s="5" t="s">
        <v>21</v>
      </c>
      <c r="H314" s="5" t="s">
        <v>140</v>
      </c>
      <c r="I314" s="5" t="s">
        <v>37</v>
      </c>
      <c r="J314" s="5" t="s">
        <v>24</v>
      </c>
      <c r="K314" s="5" t="s">
        <v>37</v>
      </c>
      <c r="L314" s="5" t="s">
        <v>34</v>
      </c>
      <c r="M314" s="5" t="s">
        <v>24</v>
      </c>
      <c r="N314" s="5" t="s">
        <v>38</v>
      </c>
      <c r="O314" s="5">
        <v>8</v>
      </c>
      <c r="P314" s="5">
        <v>155</v>
      </c>
      <c r="Q314" s="5">
        <v>20</v>
      </c>
      <c r="R314" s="5" t="s">
        <v>28</v>
      </c>
      <c r="S314" s="5" t="s">
        <v>29</v>
      </c>
      <c r="T314" s="5" t="s">
        <v>155</v>
      </c>
      <c r="U314" s="7" t="s">
        <v>70</v>
      </c>
    </row>
    <row r="315" spans="1:21" x14ac:dyDescent="0.25">
      <c r="A315" s="4">
        <v>1216515</v>
      </c>
      <c r="B315" s="5" t="s">
        <v>29</v>
      </c>
      <c r="C315" s="6">
        <v>44107</v>
      </c>
      <c r="D315" s="5" t="s">
        <v>355</v>
      </c>
      <c r="E315" s="5" t="s">
        <v>161</v>
      </c>
      <c r="F315" s="5" t="s">
        <v>141</v>
      </c>
      <c r="G315" s="5" t="s">
        <v>21</v>
      </c>
      <c r="H315" s="5" t="s">
        <v>161</v>
      </c>
      <c r="I315" s="5" t="s">
        <v>229</v>
      </c>
      <c r="J315" s="5" t="s">
        <v>25</v>
      </c>
      <c r="K315" s="5" t="s">
        <v>25</v>
      </c>
      <c r="L315" s="5" t="s">
        <v>26</v>
      </c>
      <c r="M315" s="5" t="s">
        <v>229</v>
      </c>
      <c r="N315" s="5" t="s">
        <v>27</v>
      </c>
      <c r="O315" s="5">
        <v>18</v>
      </c>
      <c r="P315" s="5">
        <v>229</v>
      </c>
      <c r="Q315" s="5">
        <v>20</v>
      </c>
      <c r="R315" s="5" t="s">
        <v>28</v>
      </c>
      <c r="S315" s="5" t="s">
        <v>29</v>
      </c>
      <c r="T315" s="5" t="s">
        <v>110</v>
      </c>
      <c r="U315" s="7" t="s">
        <v>139</v>
      </c>
    </row>
    <row r="316" spans="1:21" x14ac:dyDescent="0.25">
      <c r="A316" s="4">
        <v>1216513</v>
      </c>
      <c r="B316" s="5" t="s">
        <v>29</v>
      </c>
      <c r="C316" s="6">
        <v>44108</v>
      </c>
      <c r="D316" s="5" t="s">
        <v>355</v>
      </c>
      <c r="E316" s="5" t="s">
        <v>45</v>
      </c>
      <c r="F316" s="5" t="s">
        <v>143</v>
      </c>
      <c r="G316" s="5" t="s">
        <v>21</v>
      </c>
      <c r="H316" s="5" t="s">
        <v>45</v>
      </c>
      <c r="I316" s="5" t="s">
        <v>32</v>
      </c>
      <c r="J316" s="5" t="s">
        <v>33</v>
      </c>
      <c r="K316" s="5" t="s">
        <v>32</v>
      </c>
      <c r="L316" s="5" t="s">
        <v>34</v>
      </c>
      <c r="M316" s="5" t="s">
        <v>33</v>
      </c>
      <c r="N316" s="5" t="s">
        <v>38</v>
      </c>
      <c r="O316" s="5">
        <v>10</v>
      </c>
      <c r="P316" s="5">
        <v>179</v>
      </c>
      <c r="Q316" s="5">
        <v>20</v>
      </c>
      <c r="R316" s="5" t="s">
        <v>28</v>
      </c>
      <c r="S316" s="5" t="s">
        <v>29</v>
      </c>
      <c r="T316" s="5" t="s">
        <v>183</v>
      </c>
      <c r="U316" s="7" t="s">
        <v>174</v>
      </c>
    </row>
    <row r="317" spans="1:21" x14ac:dyDescent="0.25">
      <c r="A317" s="4">
        <v>1216538</v>
      </c>
      <c r="B317" s="5" t="s">
        <v>29</v>
      </c>
      <c r="C317" s="6">
        <v>44108</v>
      </c>
      <c r="D317" s="5" t="s">
        <v>355</v>
      </c>
      <c r="E317" s="5" t="s">
        <v>164</v>
      </c>
      <c r="F317" s="5" t="s">
        <v>141</v>
      </c>
      <c r="G317" s="5" t="s">
        <v>21</v>
      </c>
      <c r="H317" s="5" t="s">
        <v>164</v>
      </c>
      <c r="I317" s="5" t="s">
        <v>41</v>
      </c>
      <c r="J317" s="5" t="s">
        <v>121</v>
      </c>
      <c r="K317" s="5" t="s">
        <v>41</v>
      </c>
      <c r="L317" s="5" t="s">
        <v>34</v>
      </c>
      <c r="M317" s="5" t="s">
        <v>41</v>
      </c>
      <c r="N317" s="5" t="s">
        <v>27</v>
      </c>
      <c r="O317" s="5">
        <v>34</v>
      </c>
      <c r="P317" s="5">
        <v>209</v>
      </c>
      <c r="Q317" s="5">
        <v>20</v>
      </c>
      <c r="R317" s="5" t="s">
        <v>28</v>
      </c>
      <c r="S317" s="5" t="s">
        <v>29</v>
      </c>
      <c r="T317" s="5" t="s">
        <v>186</v>
      </c>
      <c r="U317" s="7" t="s">
        <v>139</v>
      </c>
    </row>
    <row r="318" spans="1:21" x14ac:dyDescent="0.25">
      <c r="A318" s="4">
        <v>1216519</v>
      </c>
      <c r="B318" s="5" t="s">
        <v>29</v>
      </c>
      <c r="C318" s="6">
        <v>44109</v>
      </c>
      <c r="D318" s="5" t="s">
        <v>355</v>
      </c>
      <c r="E318" s="5" t="s">
        <v>152</v>
      </c>
      <c r="F318" s="5" t="s">
        <v>143</v>
      </c>
      <c r="G318" s="5" t="s">
        <v>21</v>
      </c>
      <c r="H318" s="5" t="s">
        <v>152</v>
      </c>
      <c r="I318" s="5" t="s">
        <v>229</v>
      </c>
      <c r="J318" s="5" t="s">
        <v>24</v>
      </c>
      <c r="K318" s="5" t="s">
        <v>24</v>
      </c>
      <c r="L318" s="5" t="s">
        <v>26</v>
      </c>
      <c r="M318" s="5" t="s">
        <v>229</v>
      </c>
      <c r="N318" s="5" t="s">
        <v>27</v>
      </c>
      <c r="O318" s="5">
        <v>59</v>
      </c>
      <c r="P318" s="5">
        <v>197</v>
      </c>
      <c r="Q318" s="5">
        <v>20</v>
      </c>
      <c r="R318" s="5" t="s">
        <v>28</v>
      </c>
      <c r="S318" s="5" t="s">
        <v>29</v>
      </c>
      <c r="T318" s="5" t="s">
        <v>174</v>
      </c>
      <c r="U318" s="7" t="s">
        <v>202</v>
      </c>
    </row>
    <row r="319" spans="1:21" x14ac:dyDescent="0.25">
      <c r="A319" s="4">
        <v>1216511</v>
      </c>
      <c r="B319" s="5" t="s">
        <v>137</v>
      </c>
      <c r="C319" s="6">
        <v>44110</v>
      </c>
      <c r="D319" s="5" t="s">
        <v>355</v>
      </c>
      <c r="E319" s="5" t="s">
        <v>181</v>
      </c>
      <c r="F319" s="5" t="s">
        <v>138</v>
      </c>
      <c r="G319" s="5" t="s">
        <v>21</v>
      </c>
      <c r="H319" s="5" t="s">
        <v>181</v>
      </c>
      <c r="I319" s="5" t="s">
        <v>41</v>
      </c>
      <c r="J319" s="5" t="s">
        <v>37</v>
      </c>
      <c r="K319" s="5" t="s">
        <v>41</v>
      </c>
      <c r="L319" s="5" t="s">
        <v>34</v>
      </c>
      <c r="M319" s="5" t="s">
        <v>41</v>
      </c>
      <c r="N319" s="5" t="s">
        <v>27</v>
      </c>
      <c r="O319" s="5">
        <v>57</v>
      </c>
      <c r="P319" s="5">
        <v>194</v>
      </c>
      <c r="Q319" s="5">
        <v>20</v>
      </c>
      <c r="R319" s="5" t="s">
        <v>28</v>
      </c>
      <c r="S319" s="5" t="s">
        <v>29</v>
      </c>
      <c r="T319" s="5" t="s">
        <v>173</v>
      </c>
      <c r="U319" s="7" t="s">
        <v>70</v>
      </c>
    </row>
    <row r="320" spans="1:21" x14ac:dyDescent="0.25">
      <c r="A320" s="4">
        <v>1216501</v>
      </c>
      <c r="B320" s="5" t="s">
        <v>137</v>
      </c>
      <c r="C320" s="6">
        <v>44111</v>
      </c>
      <c r="D320" s="5" t="s">
        <v>355</v>
      </c>
      <c r="E320" s="5" t="s">
        <v>208</v>
      </c>
      <c r="F320" s="5" t="s">
        <v>138</v>
      </c>
      <c r="G320" s="5" t="s">
        <v>21</v>
      </c>
      <c r="H320" s="5" t="s">
        <v>208</v>
      </c>
      <c r="I320" s="5" t="s">
        <v>25</v>
      </c>
      <c r="J320" s="5" t="s">
        <v>33</v>
      </c>
      <c r="K320" s="5" t="s">
        <v>25</v>
      </c>
      <c r="L320" s="5" t="s">
        <v>34</v>
      </c>
      <c r="M320" s="5" t="s">
        <v>25</v>
      </c>
      <c r="N320" s="5" t="s">
        <v>27</v>
      </c>
      <c r="O320" s="5">
        <v>10</v>
      </c>
      <c r="P320" s="5">
        <v>168</v>
      </c>
      <c r="Q320" s="5">
        <v>20</v>
      </c>
      <c r="R320" s="5" t="s">
        <v>28</v>
      </c>
      <c r="S320" s="5" t="s">
        <v>29</v>
      </c>
      <c r="T320" s="5" t="s">
        <v>186</v>
      </c>
      <c r="U320" s="7" t="s">
        <v>139</v>
      </c>
    </row>
    <row r="321" spans="1:21" x14ac:dyDescent="0.25">
      <c r="A321" s="4">
        <v>1216542</v>
      </c>
      <c r="B321" s="5" t="s">
        <v>29</v>
      </c>
      <c r="C321" s="6">
        <v>44112</v>
      </c>
      <c r="D321" s="5" t="s">
        <v>355</v>
      </c>
      <c r="E321" s="5" t="s">
        <v>231</v>
      </c>
      <c r="F321" s="5" t="s">
        <v>143</v>
      </c>
      <c r="G321" s="5" t="s">
        <v>21</v>
      </c>
      <c r="H321" s="5" t="s">
        <v>231</v>
      </c>
      <c r="I321" s="5" t="s">
        <v>121</v>
      </c>
      <c r="J321" s="5" t="s">
        <v>32</v>
      </c>
      <c r="K321" s="5" t="s">
        <v>121</v>
      </c>
      <c r="L321" s="5" t="s">
        <v>34</v>
      </c>
      <c r="M321" s="5" t="s">
        <v>121</v>
      </c>
      <c r="N321" s="5" t="s">
        <v>27</v>
      </c>
      <c r="O321" s="5">
        <v>69</v>
      </c>
      <c r="P321" s="5">
        <v>202</v>
      </c>
      <c r="Q321" s="5">
        <v>20</v>
      </c>
      <c r="R321" s="5" t="s">
        <v>28</v>
      </c>
      <c r="S321" s="5" t="s">
        <v>29</v>
      </c>
      <c r="T321" s="5" t="s">
        <v>105</v>
      </c>
      <c r="U321" s="7" t="s">
        <v>174</v>
      </c>
    </row>
    <row r="322" spans="1:21" x14ac:dyDescent="0.25">
      <c r="A322" s="4">
        <v>1216500</v>
      </c>
      <c r="B322" s="5" t="s">
        <v>29</v>
      </c>
      <c r="C322" s="6">
        <v>44113</v>
      </c>
      <c r="D322" s="5" t="s">
        <v>355</v>
      </c>
      <c r="E322" s="5" t="s">
        <v>87</v>
      </c>
      <c r="F322" s="5" t="s">
        <v>141</v>
      </c>
      <c r="G322" s="5" t="s">
        <v>21</v>
      </c>
      <c r="H322" s="5" t="s">
        <v>87</v>
      </c>
      <c r="I322" s="5" t="s">
        <v>229</v>
      </c>
      <c r="J322" s="5" t="s">
        <v>37</v>
      </c>
      <c r="K322" s="5" t="s">
        <v>37</v>
      </c>
      <c r="L322" s="5" t="s">
        <v>26</v>
      </c>
      <c r="M322" s="5" t="s">
        <v>229</v>
      </c>
      <c r="N322" s="5" t="s">
        <v>27</v>
      </c>
      <c r="O322" s="5">
        <v>46</v>
      </c>
      <c r="P322" s="5">
        <v>185</v>
      </c>
      <c r="Q322" s="5">
        <v>20</v>
      </c>
      <c r="R322" s="5" t="s">
        <v>28</v>
      </c>
      <c r="S322" s="5" t="s">
        <v>29</v>
      </c>
      <c r="T322" s="5" t="s">
        <v>186</v>
      </c>
      <c r="U322" s="7" t="s">
        <v>118</v>
      </c>
    </row>
    <row r="323" spans="1:21" x14ac:dyDescent="0.25">
      <c r="A323" s="4">
        <v>1216523</v>
      </c>
      <c r="B323" s="5" t="s">
        <v>137</v>
      </c>
      <c r="C323" s="6">
        <v>44114</v>
      </c>
      <c r="D323" s="5" t="s">
        <v>355</v>
      </c>
      <c r="E323" s="5" t="s">
        <v>59</v>
      </c>
      <c r="F323" s="5" t="s">
        <v>138</v>
      </c>
      <c r="G323" s="5" t="s">
        <v>21</v>
      </c>
      <c r="H323" s="5" t="s">
        <v>59</v>
      </c>
      <c r="I323" s="5" t="s">
        <v>25</v>
      </c>
      <c r="J323" s="5" t="s">
        <v>32</v>
      </c>
      <c r="K323" s="5" t="s">
        <v>25</v>
      </c>
      <c r="L323" s="5" t="s">
        <v>34</v>
      </c>
      <c r="M323" s="5" t="s">
        <v>25</v>
      </c>
      <c r="N323" s="5" t="s">
        <v>27</v>
      </c>
      <c r="O323" s="5">
        <v>2</v>
      </c>
      <c r="P323" s="5">
        <v>165</v>
      </c>
      <c r="Q323" s="5">
        <v>20</v>
      </c>
      <c r="R323" s="5" t="s">
        <v>28</v>
      </c>
      <c r="S323" s="5" t="s">
        <v>29</v>
      </c>
      <c r="T323" s="5" t="s">
        <v>237</v>
      </c>
      <c r="U323" s="7" t="s">
        <v>155</v>
      </c>
    </row>
    <row r="324" spans="1:21" x14ac:dyDescent="0.25">
      <c r="A324" s="4">
        <v>1216525</v>
      </c>
      <c r="B324" s="5" t="s">
        <v>29</v>
      </c>
      <c r="C324" s="6">
        <v>44114</v>
      </c>
      <c r="D324" s="5" t="s">
        <v>355</v>
      </c>
      <c r="E324" s="5" t="s">
        <v>92</v>
      </c>
      <c r="F324" s="5" t="s">
        <v>143</v>
      </c>
      <c r="G324" s="5" t="s">
        <v>21</v>
      </c>
      <c r="H324" s="5" t="s">
        <v>92</v>
      </c>
      <c r="I324" s="5" t="s">
        <v>24</v>
      </c>
      <c r="J324" s="5" t="s">
        <v>33</v>
      </c>
      <c r="K324" s="5" t="s">
        <v>24</v>
      </c>
      <c r="L324" s="5" t="s">
        <v>34</v>
      </c>
      <c r="M324" s="5" t="s">
        <v>24</v>
      </c>
      <c r="N324" s="5" t="s">
        <v>27</v>
      </c>
      <c r="O324" s="5">
        <v>37</v>
      </c>
      <c r="P324" s="5">
        <v>170</v>
      </c>
      <c r="Q324" s="5">
        <v>20</v>
      </c>
      <c r="R324" s="5" t="s">
        <v>28</v>
      </c>
      <c r="S324" s="5" t="s">
        <v>29</v>
      </c>
      <c r="T324" s="5" t="s">
        <v>105</v>
      </c>
      <c r="U324" s="7" t="s">
        <v>90</v>
      </c>
    </row>
    <row r="325" spans="1:21" x14ac:dyDescent="0.25">
      <c r="A325" s="4">
        <v>1216507</v>
      </c>
      <c r="B325" s="5" t="s">
        <v>29</v>
      </c>
      <c r="C325" s="6">
        <v>44115</v>
      </c>
      <c r="D325" s="5" t="s">
        <v>355</v>
      </c>
      <c r="E325" s="5" t="s">
        <v>246</v>
      </c>
      <c r="F325" s="5" t="s">
        <v>143</v>
      </c>
      <c r="G325" s="5" t="s">
        <v>21</v>
      </c>
      <c r="H325" s="5" t="s">
        <v>246</v>
      </c>
      <c r="I325" s="5" t="s">
        <v>121</v>
      </c>
      <c r="J325" s="5" t="s">
        <v>37</v>
      </c>
      <c r="K325" s="5" t="s">
        <v>121</v>
      </c>
      <c r="L325" s="5" t="s">
        <v>34</v>
      </c>
      <c r="M325" s="5" t="s">
        <v>37</v>
      </c>
      <c r="N325" s="5" t="s">
        <v>38</v>
      </c>
      <c r="O325" s="5">
        <v>5</v>
      </c>
      <c r="P325" s="5">
        <v>159</v>
      </c>
      <c r="Q325" s="5">
        <v>20</v>
      </c>
      <c r="R325" s="5" t="s">
        <v>28</v>
      </c>
      <c r="S325" s="5" t="s">
        <v>29</v>
      </c>
      <c r="T325" s="5" t="s">
        <v>202</v>
      </c>
      <c r="U325" s="7" t="s">
        <v>90</v>
      </c>
    </row>
    <row r="326" spans="1:21" x14ac:dyDescent="0.25">
      <c r="A326" s="4">
        <v>1216529</v>
      </c>
      <c r="B326" s="5" t="s">
        <v>137</v>
      </c>
      <c r="C326" s="6">
        <v>44115</v>
      </c>
      <c r="D326" s="5" t="s">
        <v>355</v>
      </c>
      <c r="E326" s="5" t="s">
        <v>177</v>
      </c>
      <c r="F326" s="5" t="s">
        <v>138</v>
      </c>
      <c r="G326" s="5" t="s">
        <v>21</v>
      </c>
      <c r="H326" s="5" t="s">
        <v>177</v>
      </c>
      <c r="I326" s="5" t="s">
        <v>229</v>
      </c>
      <c r="J326" s="5" t="s">
        <v>41</v>
      </c>
      <c r="K326" s="5" t="s">
        <v>229</v>
      </c>
      <c r="L326" s="5" t="s">
        <v>34</v>
      </c>
      <c r="M326" s="5" t="s">
        <v>41</v>
      </c>
      <c r="N326" s="5" t="s">
        <v>38</v>
      </c>
      <c r="O326" s="5">
        <v>5</v>
      </c>
      <c r="P326" s="5">
        <v>163</v>
      </c>
      <c r="Q326" s="5">
        <v>20</v>
      </c>
      <c r="R326" s="5" t="s">
        <v>28</v>
      </c>
      <c r="S326" s="5" t="s">
        <v>29</v>
      </c>
      <c r="T326" s="5" t="s">
        <v>155</v>
      </c>
      <c r="U326" s="7" t="s">
        <v>70</v>
      </c>
    </row>
    <row r="327" spans="1:21" x14ac:dyDescent="0.25">
      <c r="A327" s="4">
        <v>1216540</v>
      </c>
      <c r="B327" s="5" t="s">
        <v>29</v>
      </c>
      <c r="C327" s="6">
        <v>44116</v>
      </c>
      <c r="D327" s="5" t="s">
        <v>355</v>
      </c>
      <c r="E327" s="5" t="s">
        <v>64</v>
      </c>
      <c r="F327" s="5" t="s">
        <v>141</v>
      </c>
      <c r="G327" s="5" t="s">
        <v>21</v>
      </c>
      <c r="H327" s="5" t="s">
        <v>64</v>
      </c>
      <c r="I327" s="5" t="s">
        <v>24</v>
      </c>
      <c r="J327" s="5" t="s">
        <v>25</v>
      </c>
      <c r="K327" s="5" t="s">
        <v>24</v>
      </c>
      <c r="L327" s="5" t="s">
        <v>34</v>
      </c>
      <c r="M327" s="5" t="s">
        <v>24</v>
      </c>
      <c r="N327" s="5" t="s">
        <v>27</v>
      </c>
      <c r="O327" s="5">
        <v>82</v>
      </c>
      <c r="P327" s="5">
        <v>195</v>
      </c>
      <c r="Q327" s="5">
        <v>20</v>
      </c>
      <c r="R327" s="5" t="s">
        <v>28</v>
      </c>
      <c r="S327" s="5" t="s">
        <v>29</v>
      </c>
      <c r="T327" s="5" t="s">
        <v>139</v>
      </c>
      <c r="U327" s="7" t="s">
        <v>158</v>
      </c>
    </row>
    <row r="328" spans="1:21" x14ac:dyDescent="0.25">
      <c r="A328" s="4">
        <v>1216528</v>
      </c>
      <c r="B328" s="5" t="s">
        <v>29</v>
      </c>
      <c r="C328" s="6">
        <v>44117</v>
      </c>
      <c r="D328" s="5" t="s">
        <v>355</v>
      </c>
      <c r="E328" s="5" t="s">
        <v>108</v>
      </c>
      <c r="F328" s="5" t="s">
        <v>143</v>
      </c>
      <c r="G328" s="5" t="s">
        <v>21</v>
      </c>
      <c r="H328" s="5" t="s">
        <v>108</v>
      </c>
      <c r="I328" s="5" t="s">
        <v>33</v>
      </c>
      <c r="J328" s="5" t="s">
        <v>121</v>
      </c>
      <c r="K328" s="5" t="s">
        <v>33</v>
      </c>
      <c r="L328" s="5" t="s">
        <v>34</v>
      </c>
      <c r="M328" s="5" t="s">
        <v>33</v>
      </c>
      <c r="N328" s="5" t="s">
        <v>27</v>
      </c>
      <c r="O328" s="5">
        <v>20</v>
      </c>
      <c r="P328" s="5">
        <v>168</v>
      </c>
      <c r="Q328" s="5">
        <v>20</v>
      </c>
      <c r="R328" s="5" t="s">
        <v>28</v>
      </c>
      <c r="S328" s="5" t="s">
        <v>29</v>
      </c>
      <c r="T328" s="5" t="s">
        <v>105</v>
      </c>
      <c r="U328" s="7" t="s">
        <v>90</v>
      </c>
    </row>
    <row r="329" spans="1:21" x14ac:dyDescent="0.25">
      <c r="A329" s="4">
        <v>1216543</v>
      </c>
      <c r="B329" s="5" t="s">
        <v>29</v>
      </c>
      <c r="C329" s="6">
        <v>44118</v>
      </c>
      <c r="D329" s="5" t="s">
        <v>355</v>
      </c>
      <c r="E329" s="5" t="s">
        <v>247</v>
      </c>
      <c r="F329" s="5" t="s">
        <v>143</v>
      </c>
      <c r="G329" s="5" t="s">
        <v>21</v>
      </c>
      <c r="H329" s="5" t="s">
        <v>247</v>
      </c>
      <c r="I329" s="5" t="s">
        <v>229</v>
      </c>
      <c r="J329" s="5" t="s">
        <v>37</v>
      </c>
      <c r="K329" s="5" t="s">
        <v>229</v>
      </c>
      <c r="L329" s="5" t="s">
        <v>34</v>
      </c>
      <c r="M329" s="5" t="s">
        <v>229</v>
      </c>
      <c r="N329" s="5" t="s">
        <v>27</v>
      </c>
      <c r="O329" s="5">
        <v>13</v>
      </c>
      <c r="P329" s="5">
        <v>162</v>
      </c>
      <c r="Q329" s="5">
        <v>20</v>
      </c>
      <c r="R329" s="5" t="s">
        <v>28</v>
      </c>
      <c r="S329" s="5" t="s">
        <v>29</v>
      </c>
      <c r="T329" s="5" t="s">
        <v>105</v>
      </c>
      <c r="U329" s="7" t="s">
        <v>174</v>
      </c>
    </row>
    <row r="330" spans="1:21" x14ac:dyDescent="0.25">
      <c r="A330" s="4">
        <v>1216531</v>
      </c>
      <c r="B330" s="5" t="s">
        <v>29</v>
      </c>
      <c r="C330" s="6">
        <v>44119</v>
      </c>
      <c r="D330" s="5" t="s">
        <v>355</v>
      </c>
      <c r="E330" s="5" t="s">
        <v>213</v>
      </c>
      <c r="F330" s="5" t="s">
        <v>141</v>
      </c>
      <c r="G330" s="5" t="s">
        <v>21</v>
      </c>
      <c r="H330" s="5" t="s">
        <v>213</v>
      </c>
      <c r="I330" s="5" t="s">
        <v>24</v>
      </c>
      <c r="J330" s="5" t="s">
        <v>32</v>
      </c>
      <c r="K330" s="5" t="s">
        <v>24</v>
      </c>
      <c r="L330" s="5" t="s">
        <v>34</v>
      </c>
      <c r="M330" s="5" t="s">
        <v>32</v>
      </c>
      <c r="N330" s="5" t="s">
        <v>38</v>
      </c>
      <c r="O330" s="5">
        <v>8</v>
      </c>
      <c r="P330" s="5">
        <v>172</v>
      </c>
      <c r="Q330" s="5">
        <v>20</v>
      </c>
      <c r="R330" s="5" t="s">
        <v>28</v>
      </c>
      <c r="S330" s="5" t="s">
        <v>29</v>
      </c>
      <c r="T330" s="5" t="s">
        <v>186</v>
      </c>
      <c r="U330" s="7" t="s">
        <v>118</v>
      </c>
    </row>
    <row r="331" spans="1:21" x14ac:dyDescent="0.25">
      <c r="A331" s="4">
        <v>1216526</v>
      </c>
      <c r="B331" s="5" t="s">
        <v>137</v>
      </c>
      <c r="C331" s="6">
        <v>44120</v>
      </c>
      <c r="D331" s="5" t="s">
        <v>355</v>
      </c>
      <c r="E331" s="5" t="s">
        <v>177</v>
      </c>
      <c r="F331" s="5" t="s">
        <v>138</v>
      </c>
      <c r="G331" s="5" t="s">
        <v>21</v>
      </c>
      <c r="H331" s="5" t="s">
        <v>177</v>
      </c>
      <c r="I331" s="5" t="s">
        <v>25</v>
      </c>
      <c r="J331" s="5" t="s">
        <v>41</v>
      </c>
      <c r="K331" s="5" t="s">
        <v>25</v>
      </c>
      <c r="L331" s="5" t="s">
        <v>34</v>
      </c>
      <c r="M331" s="5" t="s">
        <v>41</v>
      </c>
      <c r="N331" s="5" t="s">
        <v>38</v>
      </c>
      <c r="O331" s="5">
        <v>8</v>
      </c>
      <c r="P331" s="5">
        <v>149</v>
      </c>
      <c r="Q331" s="5">
        <v>20</v>
      </c>
      <c r="R331" s="5" t="s">
        <v>28</v>
      </c>
      <c r="S331" s="5" t="s">
        <v>29</v>
      </c>
      <c r="T331" s="5" t="s">
        <v>155</v>
      </c>
      <c r="U331" s="7" t="s">
        <v>173</v>
      </c>
    </row>
    <row r="332" spans="1:21" x14ac:dyDescent="0.25">
      <c r="A332" s="4">
        <v>1216509</v>
      </c>
      <c r="B332" s="5" t="s">
        <v>29</v>
      </c>
      <c r="C332" s="6">
        <v>44121</v>
      </c>
      <c r="D332" s="5" t="s">
        <v>355</v>
      </c>
      <c r="E332" s="5" t="s">
        <v>98</v>
      </c>
      <c r="F332" s="5" t="s">
        <v>141</v>
      </c>
      <c r="G332" s="5" t="s">
        <v>21</v>
      </c>
      <c r="H332" s="5" t="s">
        <v>98</v>
      </c>
      <c r="I332" s="5" t="s">
        <v>33</v>
      </c>
      <c r="J332" s="5" t="s">
        <v>229</v>
      </c>
      <c r="K332" s="5" t="s">
        <v>33</v>
      </c>
      <c r="L332" s="5" t="s">
        <v>34</v>
      </c>
      <c r="M332" s="5" t="s">
        <v>229</v>
      </c>
      <c r="N332" s="5" t="s">
        <v>38</v>
      </c>
      <c r="O332" s="5">
        <v>5</v>
      </c>
      <c r="P332" s="5">
        <v>180</v>
      </c>
      <c r="Q332" s="5">
        <v>20</v>
      </c>
      <c r="R332" s="5" t="s">
        <v>28</v>
      </c>
      <c r="S332" s="5" t="s">
        <v>29</v>
      </c>
      <c r="T332" s="5" t="s">
        <v>186</v>
      </c>
      <c r="U332" s="7" t="s">
        <v>139</v>
      </c>
    </row>
    <row r="333" spans="1:21" x14ac:dyDescent="0.25">
      <c r="A333" s="4">
        <v>1216522</v>
      </c>
      <c r="B333" s="5" t="s">
        <v>29</v>
      </c>
      <c r="C333" s="6">
        <v>44121</v>
      </c>
      <c r="D333" s="5" t="s">
        <v>355</v>
      </c>
      <c r="E333" s="5" t="s">
        <v>64</v>
      </c>
      <c r="F333" s="5" t="s">
        <v>143</v>
      </c>
      <c r="G333" s="5" t="s">
        <v>21</v>
      </c>
      <c r="H333" s="5" t="s">
        <v>64</v>
      </c>
      <c r="I333" s="5" t="s">
        <v>37</v>
      </c>
      <c r="J333" s="5" t="s">
        <v>24</v>
      </c>
      <c r="K333" s="5" t="s">
        <v>37</v>
      </c>
      <c r="L333" s="5" t="s">
        <v>34</v>
      </c>
      <c r="M333" s="5" t="s">
        <v>24</v>
      </c>
      <c r="N333" s="5" t="s">
        <v>38</v>
      </c>
      <c r="O333" s="5">
        <v>7</v>
      </c>
      <c r="P333" s="5">
        <v>178</v>
      </c>
      <c r="Q333" s="5">
        <v>20</v>
      </c>
      <c r="R333" s="5" t="s">
        <v>28</v>
      </c>
      <c r="S333" s="5" t="s">
        <v>29</v>
      </c>
      <c r="T333" s="5" t="s">
        <v>105</v>
      </c>
      <c r="U333" s="7" t="s">
        <v>174</v>
      </c>
    </row>
    <row r="334" spans="1:21" x14ac:dyDescent="0.25">
      <c r="A334" s="4">
        <v>1216512</v>
      </c>
      <c r="B334" s="5" t="s">
        <v>137</v>
      </c>
      <c r="C334" s="6">
        <v>44122</v>
      </c>
      <c r="D334" s="5" t="s">
        <v>355</v>
      </c>
      <c r="E334" s="5" t="s">
        <v>206</v>
      </c>
      <c r="F334" s="5" t="s">
        <v>138</v>
      </c>
      <c r="G334" s="5" t="s">
        <v>21</v>
      </c>
      <c r="H334" s="5" t="s">
        <v>206</v>
      </c>
      <c r="I334" s="5" t="s">
        <v>25</v>
      </c>
      <c r="J334" s="5" t="s">
        <v>121</v>
      </c>
      <c r="K334" s="5" t="s">
        <v>121</v>
      </c>
      <c r="L334" s="5" t="s">
        <v>26</v>
      </c>
      <c r="M334" s="5" t="s">
        <v>25</v>
      </c>
      <c r="N334" s="5" t="s">
        <v>65</v>
      </c>
      <c r="O334" s="5" t="s">
        <v>29</v>
      </c>
      <c r="P334" s="5">
        <v>164</v>
      </c>
      <c r="Q334" s="5">
        <v>20</v>
      </c>
      <c r="R334" s="5" t="s">
        <v>66</v>
      </c>
      <c r="S334" s="5" t="s">
        <v>29</v>
      </c>
      <c r="T334" s="5" t="s">
        <v>151</v>
      </c>
      <c r="U334" s="7" t="s">
        <v>70</v>
      </c>
    </row>
    <row r="335" spans="1:21" x14ac:dyDescent="0.25">
      <c r="A335" s="4">
        <v>1216517</v>
      </c>
      <c r="B335" s="5" t="s">
        <v>29</v>
      </c>
      <c r="C335" s="6">
        <v>44122</v>
      </c>
      <c r="D335" s="5" t="s">
        <v>355</v>
      </c>
      <c r="E335" s="5" t="s">
        <v>213</v>
      </c>
      <c r="F335" s="5" t="s">
        <v>143</v>
      </c>
      <c r="G335" s="5" t="s">
        <v>21</v>
      </c>
      <c r="H335" s="5" t="s">
        <v>213</v>
      </c>
      <c r="I335" s="5" t="s">
        <v>41</v>
      </c>
      <c r="J335" s="5" t="s">
        <v>32</v>
      </c>
      <c r="K335" s="5" t="s">
        <v>41</v>
      </c>
      <c r="L335" s="5" t="s">
        <v>34</v>
      </c>
      <c r="M335" s="5" t="s">
        <v>32</v>
      </c>
      <c r="N335" s="5" t="s">
        <v>65</v>
      </c>
      <c r="O335" s="5" t="s">
        <v>29</v>
      </c>
      <c r="P335" s="5">
        <v>177</v>
      </c>
      <c r="Q335" s="5">
        <v>20</v>
      </c>
      <c r="R335" s="5" t="s">
        <v>66</v>
      </c>
      <c r="S335" s="5" t="s">
        <v>29</v>
      </c>
      <c r="T335" s="5" t="s">
        <v>174</v>
      </c>
      <c r="U335" s="7" t="s">
        <v>90</v>
      </c>
    </row>
    <row r="336" spans="1:21" x14ac:dyDescent="0.25">
      <c r="A336" s="4">
        <v>1216533</v>
      </c>
      <c r="B336" s="5" t="s">
        <v>137</v>
      </c>
      <c r="C336" s="6">
        <v>44123</v>
      </c>
      <c r="D336" s="5" t="s">
        <v>355</v>
      </c>
      <c r="E336" s="5" t="s">
        <v>205</v>
      </c>
      <c r="F336" s="5" t="s">
        <v>138</v>
      </c>
      <c r="G336" s="5" t="s">
        <v>21</v>
      </c>
      <c r="H336" s="5" t="s">
        <v>205</v>
      </c>
      <c r="I336" s="5" t="s">
        <v>33</v>
      </c>
      <c r="J336" s="5" t="s">
        <v>37</v>
      </c>
      <c r="K336" s="5" t="s">
        <v>33</v>
      </c>
      <c r="L336" s="5" t="s">
        <v>34</v>
      </c>
      <c r="M336" s="5" t="s">
        <v>37</v>
      </c>
      <c r="N336" s="5" t="s">
        <v>38</v>
      </c>
      <c r="O336" s="5">
        <v>7</v>
      </c>
      <c r="P336" s="5">
        <v>126</v>
      </c>
      <c r="Q336" s="5">
        <v>20</v>
      </c>
      <c r="R336" s="5" t="s">
        <v>28</v>
      </c>
      <c r="S336" s="5" t="s">
        <v>29</v>
      </c>
      <c r="T336" s="5" t="s">
        <v>155</v>
      </c>
      <c r="U336" s="7" t="s">
        <v>173</v>
      </c>
    </row>
    <row r="337" spans="1:21" x14ac:dyDescent="0.25">
      <c r="A337" s="4">
        <v>1216546</v>
      </c>
      <c r="B337" s="5" t="s">
        <v>29</v>
      </c>
      <c r="C337" s="6">
        <v>44124</v>
      </c>
      <c r="D337" s="5" t="s">
        <v>355</v>
      </c>
      <c r="E337" s="5" t="s">
        <v>98</v>
      </c>
      <c r="F337" s="5" t="s">
        <v>143</v>
      </c>
      <c r="G337" s="5" t="s">
        <v>21</v>
      </c>
      <c r="H337" s="5" t="s">
        <v>98</v>
      </c>
      <c r="I337" s="5" t="s">
        <v>229</v>
      </c>
      <c r="J337" s="5" t="s">
        <v>32</v>
      </c>
      <c r="K337" s="5" t="s">
        <v>229</v>
      </c>
      <c r="L337" s="5" t="s">
        <v>34</v>
      </c>
      <c r="M337" s="5" t="s">
        <v>32</v>
      </c>
      <c r="N337" s="5" t="s">
        <v>38</v>
      </c>
      <c r="O337" s="5">
        <v>5</v>
      </c>
      <c r="P337" s="5">
        <v>165</v>
      </c>
      <c r="Q337" s="5">
        <v>20</v>
      </c>
      <c r="R337" s="5" t="s">
        <v>28</v>
      </c>
      <c r="S337" s="5" t="s">
        <v>29</v>
      </c>
      <c r="T337" s="5" t="s">
        <v>118</v>
      </c>
      <c r="U337" s="7" t="s">
        <v>139</v>
      </c>
    </row>
    <row r="338" spans="1:21" x14ac:dyDescent="0.25">
      <c r="A338" s="4">
        <v>1216494</v>
      </c>
      <c r="B338" s="5" t="s">
        <v>137</v>
      </c>
      <c r="C338" s="6">
        <v>44125</v>
      </c>
      <c r="D338" s="5" t="s">
        <v>355</v>
      </c>
      <c r="E338" s="5" t="s">
        <v>209</v>
      </c>
      <c r="F338" s="5" t="s">
        <v>138</v>
      </c>
      <c r="G338" s="5" t="s">
        <v>21</v>
      </c>
      <c r="H338" s="5" t="s">
        <v>209</v>
      </c>
      <c r="I338" s="5" t="s">
        <v>25</v>
      </c>
      <c r="J338" s="5" t="s">
        <v>24</v>
      </c>
      <c r="K338" s="5" t="s">
        <v>25</v>
      </c>
      <c r="L338" s="5" t="s">
        <v>34</v>
      </c>
      <c r="M338" s="5" t="s">
        <v>24</v>
      </c>
      <c r="N338" s="5" t="s">
        <v>38</v>
      </c>
      <c r="O338" s="5">
        <v>8</v>
      </c>
      <c r="P338" s="5">
        <v>85</v>
      </c>
      <c r="Q338" s="5">
        <v>20</v>
      </c>
      <c r="R338" s="5" t="s">
        <v>28</v>
      </c>
      <c r="S338" s="5" t="s">
        <v>29</v>
      </c>
      <c r="T338" s="5" t="s">
        <v>173</v>
      </c>
      <c r="U338" s="7" t="s">
        <v>70</v>
      </c>
    </row>
    <row r="339" spans="1:21" x14ac:dyDescent="0.25">
      <c r="A339" s="4">
        <v>1216518</v>
      </c>
      <c r="B339" s="5" t="s">
        <v>29</v>
      </c>
      <c r="C339" s="6">
        <v>44126</v>
      </c>
      <c r="D339" s="5" t="s">
        <v>355</v>
      </c>
      <c r="E339" s="5" t="s">
        <v>75</v>
      </c>
      <c r="F339" s="5" t="s">
        <v>143</v>
      </c>
      <c r="G339" s="5" t="s">
        <v>21</v>
      </c>
      <c r="H339" s="5" t="s">
        <v>75</v>
      </c>
      <c r="I339" s="5" t="s">
        <v>37</v>
      </c>
      <c r="J339" s="5" t="s">
        <v>121</v>
      </c>
      <c r="K339" s="5" t="s">
        <v>121</v>
      </c>
      <c r="L339" s="5" t="s">
        <v>26</v>
      </c>
      <c r="M339" s="5" t="s">
        <v>121</v>
      </c>
      <c r="N339" s="5" t="s">
        <v>38</v>
      </c>
      <c r="O339" s="5">
        <v>8</v>
      </c>
      <c r="P339" s="5">
        <v>155</v>
      </c>
      <c r="Q339" s="5">
        <v>20</v>
      </c>
      <c r="R339" s="5" t="s">
        <v>28</v>
      </c>
      <c r="S339" s="5" t="s">
        <v>29</v>
      </c>
      <c r="T339" s="5" t="s">
        <v>174</v>
      </c>
      <c r="U339" s="7" t="s">
        <v>90</v>
      </c>
    </row>
    <row r="340" spans="1:21" x14ac:dyDescent="0.25">
      <c r="A340" s="4">
        <v>1216521</v>
      </c>
      <c r="B340" s="5" t="s">
        <v>29</v>
      </c>
      <c r="C340" s="6">
        <v>44127</v>
      </c>
      <c r="D340" s="5" t="s">
        <v>355</v>
      </c>
      <c r="E340" s="5" t="s">
        <v>164</v>
      </c>
      <c r="F340" s="5" t="s">
        <v>141</v>
      </c>
      <c r="G340" s="5" t="s">
        <v>21</v>
      </c>
      <c r="H340" s="5" t="s">
        <v>164</v>
      </c>
      <c r="I340" s="5" t="s">
        <v>33</v>
      </c>
      <c r="J340" s="5" t="s">
        <v>41</v>
      </c>
      <c r="K340" s="5" t="s">
        <v>41</v>
      </c>
      <c r="L340" s="5" t="s">
        <v>26</v>
      </c>
      <c r="M340" s="5" t="s">
        <v>41</v>
      </c>
      <c r="N340" s="5" t="s">
        <v>38</v>
      </c>
      <c r="O340" s="5">
        <v>10</v>
      </c>
      <c r="P340" s="5">
        <v>115</v>
      </c>
      <c r="Q340" s="5">
        <v>20</v>
      </c>
      <c r="R340" s="5" t="s">
        <v>28</v>
      </c>
      <c r="S340" s="5" t="s">
        <v>29</v>
      </c>
      <c r="T340" s="5" t="s">
        <v>118</v>
      </c>
      <c r="U340" s="7" t="s">
        <v>110</v>
      </c>
    </row>
    <row r="341" spans="1:21" x14ac:dyDescent="0.25">
      <c r="A341" s="4">
        <v>1216497</v>
      </c>
      <c r="B341" s="5" t="s">
        <v>137</v>
      </c>
      <c r="C341" s="6">
        <v>44128</v>
      </c>
      <c r="D341" s="5" t="s">
        <v>355</v>
      </c>
      <c r="E341" s="5" t="s">
        <v>248</v>
      </c>
      <c r="F341" s="5" t="s">
        <v>138</v>
      </c>
      <c r="G341" s="5" t="s">
        <v>21</v>
      </c>
      <c r="H341" s="5" t="s">
        <v>248</v>
      </c>
      <c r="I341" s="5" t="s">
        <v>25</v>
      </c>
      <c r="J341" s="5" t="s">
        <v>229</v>
      </c>
      <c r="K341" s="5" t="s">
        <v>229</v>
      </c>
      <c r="L341" s="5" t="s">
        <v>26</v>
      </c>
      <c r="M341" s="5" t="s">
        <v>25</v>
      </c>
      <c r="N341" s="5" t="s">
        <v>27</v>
      </c>
      <c r="O341" s="5">
        <v>59</v>
      </c>
      <c r="P341" s="5">
        <v>195</v>
      </c>
      <c r="Q341" s="5">
        <v>20</v>
      </c>
      <c r="R341" s="5" t="s">
        <v>28</v>
      </c>
      <c r="S341" s="5" t="s">
        <v>29</v>
      </c>
      <c r="T341" s="5" t="s">
        <v>155</v>
      </c>
      <c r="U341" s="7" t="s">
        <v>151</v>
      </c>
    </row>
    <row r="342" spans="1:21" x14ac:dyDescent="0.25">
      <c r="A342" s="4">
        <v>1216498</v>
      </c>
      <c r="B342" s="5" t="s">
        <v>29</v>
      </c>
      <c r="C342" s="6">
        <v>44128</v>
      </c>
      <c r="D342" s="5" t="s">
        <v>355</v>
      </c>
      <c r="E342" s="5" t="s">
        <v>249</v>
      </c>
      <c r="F342" s="5" t="s">
        <v>143</v>
      </c>
      <c r="G342" s="5" t="s">
        <v>21</v>
      </c>
      <c r="H342" s="5" t="s">
        <v>249</v>
      </c>
      <c r="I342" s="5" t="s">
        <v>32</v>
      </c>
      <c r="J342" s="5" t="s">
        <v>121</v>
      </c>
      <c r="K342" s="5" t="s">
        <v>121</v>
      </c>
      <c r="L342" s="5" t="s">
        <v>26</v>
      </c>
      <c r="M342" s="5" t="s">
        <v>32</v>
      </c>
      <c r="N342" s="5" t="s">
        <v>27</v>
      </c>
      <c r="O342" s="5">
        <v>12</v>
      </c>
      <c r="P342" s="5">
        <v>127</v>
      </c>
      <c r="Q342" s="5">
        <v>20</v>
      </c>
      <c r="R342" s="5" t="s">
        <v>28</v>
      </c>
      <c r="S342" s="5" t="s">
        <v>29</v>
      </c>
      <c r="T342" s="5" t="s">
        <v>183</v>
      </c>
      <c r="U342" s="7" t="s">
        <v>90</v>
      </c>
    </row>
    <row r="343" spans="1:21" x14ac:dyDescent="0.25">
      <c r="A343" s="4">
        <v>1216541</v>
      </c>
      <c r="B343" s="5" t="s">
        <v>137</v>
      </c>
      <c r="C343" s="6">
        <v>44129</v>
      </c>
      <c r="D343" s="5" t="s">
        <v>355</v>
      </c>
      <c r="E343" s="5" t="s">
        <v>203</v>
      </c>
      <c r="F343" s="5" t="s">
        <v>138</v>
      </c>
      <c r="G343" s="5" t="s">
        <v>21</v>
      </c>
      <c r="H343" s="5" t="s">
        <v>203</v>
      </c>
      <c r="I343" s="5" t="s">
        <v>41</v>
      </c>
      <c r="J343" s="5" t="s">
        <v>37</v>
      </c>
      <c r="K343" s="5" t="s">
        <v>41</v>
      </c>
      <c r="L343" s="5" t="s">
        <v>34</v>
      </c>
      <c r="M343" s="5" t="s">
        <v>37</v>
      </c>
      <c r="N343" s="5" t="s">
        <v>38</v>
      </c>
      <c r="O343" s="5">
        <v>8</v>
      </c>
      <c r="P343" s="5">
        <v>196</v>
      </c>
      <c r="Q343" s="5">
        <v>20</v>
      </c>
      <c r="R343" s="5" t="s">
        <v>28</v>
      </c>
      <c r="S343" s="5" t="s">
        <v>29</v>
      </c>
      <c r="T343" s="5" t="s">
        <v>237</v>
      </c>
      <c r="U343" s="7" t="s">
        <v>173</v>
      </c>
    </row>
    <row r="344" spans="1:21" x14ac:dyDescent="0.25">
      <c r="A344" s="4">
        <v>1216544</v>
      </c>
      <c r="B344" s="5" t="s">
        <v>29</v>
      </c>
      <c r="C344" s="6">
        <v>44129</v>
      </c>
      <c r="D344" s="5" t="s">
        <v>355</v>
      </c>
      <c r="E344" s="5" t="s">
        <v>250</v>
      </c>
      <c r="F344" s="5" t="s">
        <v>143</v>
      </c>
      <c r="G344" s="5" t="s">
        <v>21</v>
      </c>
      <c r="H344" s="5" t="s">
        <v>250</v>
      </c>
      <c r="I344" s="5" t="s">
        <v>24</v>
      </c>
      <c r="J344" s="5" t="s">
        <v>33</v>
      </c>
      <c r="K344" s="5" t="s">
        <v>24</v>
      </c>
      <c r="L344" s="5" t="s">
        <v>34</v>
      </c>
      <c r="M344" s="5" t="s">
        <v>33</v>
      </c>
      <c r="N344" s="5" t="s">
        <v>38</v>
      </c>
      <c r="O344" s="5">
        <v>8</v>
      </c>
      <c r="P344" s="5">
        <v>146</v>
      </c>
      <c r="Q344" s="5">
        <v>20</v>
      </c>
      <c r="R344" s="5" t="s">
        <v>28</v>
      </c>
      <c r="S344" s="5" t="s">
        <v>29</v>
      </c>
      <c r="T344" s="5" t="s">
        <v>118</v>
      </c>
      <c r="U344" s="7" t="s">
        <v>139</v>
      </c>
    </row>
    <row r="345" spans="1:21" x14ac:dyDescent="0.25">
      <c r="A345" s="4">
        <v>1216520</v>
      </c>
      <c r="B345" s="5" t="s">
        <v>29</v>
      </c>
      <c r="C345" s="6">
        <v>44130</v>
      </c>
      <c r="D345" s="5" t="s">
        <v>355</v>
      </c>
      <c r="E345" s="5" t="s">
        <v>62</v>
      </c>
      <c r="F345" s="5" t="s">
        <v>141</v>
      </c>
      <c r="G345" s="5" t="s">
        <v>21</v>
      </c>
      <c r="H345" s="5" t="s">
        <v>62</v>
      </c>
      <c r="I345" s="5" t="s">
        <v>25</v>
      </c>
      <c r="J345" s="5" t="s">
        <v>32</v>
      </c>
      <c r="K345" s="5" t="s">
        <v>32</v>
      </c>
      <c r="L345" s="5" t="s">
        <v>26</v>
      </c>
      <c r="M345" s="5" t="s">
        <v>32</v>
      </c>
      <c r="N345" s="5" t="s">
        <v>38</v>
      </c>
      <c r="O345" s="5">
        <v>8</v>
      </c>
      <c r="P345" s="5">
        <v>150</v>
      </c>
      <c r="Q345" s="5">
        <v>20</v>
      </c>
      <c r="R345" s="5" t="s">
        <v>28</v>
      </c>
      <c r="S345" s="5" t="s">
        <v>29</v>
      </c>
      <c r="T345" s="5" t="s">
        <v>186</v>
      </c>
      <c r="U345" s="7" t="s">
        <v>139</v>
      </c>
    </row>
    <row r="346" spans="1:21" x14ac:dyDescent="0.25">
      <c r="A346" s="4">
        <v>1216524</v>
      </c>
      <c r="B346" s="5" t="s">
        <v>29</v>
      </c>
      <c r="C346" s="6">
        <v>44131</v>
      </c>
      <c r="D346" s="5" t="s">
        <v>355</v>
      </c>
      <c r="E346" s="5" t="s">
        <v>97</v>
      </c>
      <c r="F346" s="5" t="s">
        <v>143</v>
      </c>
      <c r="G346" s="5" t="s">
        <v>21</v>
      </c>
      <c r="H346" s="5" t="s">
        <v>97</v>
      </c>
      <c r="I346" s="5" t="s">
        <v>121</v>
      </c>
      <c r="J346" s="5" t="s">
        <v>229</v>
      </c>
      <c r="K346" s="5" t="s">
        <v>229</v>
      </c>
      <c r="L346" s="5" t="s">
        <v>26</v>
      </c>
      <c r="M346" s="5" t="s">
        <v>121</v>
      </c>
      <c r="N346" s="5" t="s">
        <v>27</v>
      </c>
      <c r="O346" s="5">
        <v>88</v>
      </c>
      <c r="P346" s="5">
        <v>220</v>
      </c>
      <c r="Q346" s="5">
        <v>20</v>
      </c>
      <c r="R346" s="5" t="s">
        <v>28</v>
      </c>
      <c r="S346" s="5" t="s">
        <v>29</v>
      </c>
      <c r="T346" s="5" t="s">
        <v>105</v>
      </c>
      <c r="U346" s="7" t="s">
        <v>174</v>
      </c>
    </row>
    <row r="347" spans="1:21" x14ac:dyDescent="0.25">
      <c r="A347" s="4">
        <v>1216499</v>
      </c>
      <c r="B347" s="5" t="s">
        <v>137</v>
      </c>
      <c r="C347" s="6">
        <v>44132</v>
      </c>
      <c r="D347" s="5" t="s">
        <v>355</v>
      </c>
      <c r="E347" s="5" t="s">
        <v>181</v>
      </c>
      <c r="F347" s="5" t="s">
        <v>138</v>
      </c>
      <c r="G347" s="5" t="s">
        <v>21</v>
      </c>
      <c r="H347" s="5" t="s">
        <v>181</v>
      </c>
      <c r="I347" s="5" t="s">
        <v>24</v>
      </c>
      <c r="J347" s="5" t="s">
        <v>41</v>
      </c>
      <c r="K347" s="5" t="s">
        <v>41</v>
      </c>
      <c r="L347" s="5" t="s">
        <v>26</v>
      </c>
      <c r="M347" s="5" t="s">
        <v>41</v>
      </c>
      <c r="N347" s="5" t="s">
        <v>38</v>
      </c>
      <c r="O347" s="5">
        <v>5</v>
      </c>
      <c r="P347" s="5">
        <v>165</v>
      </c>
      <c r="Q347" s="5">
        <v>20</v>
      </c>
      <c r="R347" s="5" t="s">
        <v>28</v>
      </c>
      <c r="S347" s="5" t="s">
        <v>29</v>
      </c>
      <c r="T347" s="5" t="s">
        <v>237</v>
      </c>
      <c r="U347" s="7" t="s">
        <v>155</v>
      </c>
    </row>
    <row r="348" spans="1:21" x14ac:dyDescent="0.25">
      <c r="A348" s="4">
        <v>1216536</v>
      </c>
      <c r="B348" s="5" t="s">
        <v>29</v>
      </c>
      <c r="C348" s="6">
        <v>44133</v>
      </c>
      <c r="D348" s="5" t="s">
        <v>355</v>
      </c>
      <c r="E348" s="5" t="s">
        <v>250</v>
      </c>
      <c r="F348" s="5" t="s">
        <v>143</v>
      </c>
      <c r="G348" s="5" t="s">
        <v>21</v>
      </c>
      <c r="H348" s="5" t="s">
        <v>250</v>
      </c>
      <c r="I348" s="5" t="s">
        <v>25</v>
      </c>
      <c r="J348" s="5" t="s">
        <v>33</v>
      </c>
      <c r="K348" s="5" t="s">
        <v>33</v>
      </c>
      <c r="L348" s="5" t="s">
        <v>26</v>
      </c>
      <c r="M348" s="5" t="s">
        <v>33</v>
      </c>
      <c r="N348" s="5" t="s">
        <v>38</v>
      </c>
      <c r="O348" s="5">
        <v>6</v>
      </c>
      <c r="P348" s="5">
        <v>173</v>
      </c>
      <c r="Q348" s="5">
        <v>20</v>
      </c>
      <c r="R348" s="5" t="s">
        <v>28</v>
      </c>
      <c r="S348" s="5" t="s">
        <v>29</v>
      </c>
      <c r="T348" s="5" t="s">
        <v>118</v>
      </c>
      <c r="U348" s="7" t="s">
        <v>139</v>
      </c>
    </row>
    <row r="349" spans="1:21" x14ac:dyDescent="0.25">
      <c r="A349" s="4">
        <v>1216537</v>
      </c>
      <c r="B349" s="5" t="s">
        <v>137</v>
      </c>
      <c r="C349" s="6">
        <v>44134</v>
      </c>
      <c r="D349" s="5" t="s">
        <v>355</v>
      </c>
      <c r="E349" s="5" t="s">
        <v>203</v>
      </c>
      <c r="F349" s="5" t="s">
        <v>138</v>
      </c>
      <c r="G349" s="5" t="s">
        <v>21</v>
      </c>
      <c r="H349" s="5" t="s">
        <v>203</v>
      </c>
      <c r="I349" s="5" t="s">
        <v>32</v>
      </c>
      <c r="J349" s="5" t="s">
        <v>37</v>
      </c>
      <c r="K349" s="5" t="s">
        <v>37</v>
      </c>
      <c r="L349" s="5" t="s">
        <v>26</v>
      </c>
      <c r="M349" s="5" t="s">
        <v>37</v>
      </c>
      <c r="N349" s="5" t="s">
        <v>38</v>
      </c>
      <c r="O349" s="5">
        <v>7</v>
      </c>
      <c r="P349" s="5">
        <v>186</v>
      </c>
      <c r="Q349" s="5">
        <v>20</v>
      </c>
      <c r="R349" s="5" t="s">
        <v>28</v>
      </c>
      <c r="S349" s="5" t="s">
        <v>29</v>
      </c>
      <c r="T349" s="5" t="s">
        <v>155</v>
      </c>
      <c r="U349" s="7" t="s">
        <v>70</v>
      </c>
    </row>
    <row r="350" spans="1:21" x14ac:dyDescent="0.25">
      <c r="A350" s="4">
        <v>1216502</v>
      </c>
      <c r="B350" s="5" t="s">
        <v>29</v>
      </c>
      <c r="C350" s="6">
        <v>44135</v>
      </c>
      <c r="D350" s="5" t="s">
        <v>355</v>
      </c>
      <c r="E350" s="5" t="s">
        <v>146</v>
      </c>
      <c r="F350" s="5" t="s">
        <v>141</v>
      </c>
      <c r="G350" s="5" t="s">
        <v>21</v>
      </c>
      <c r="H350" s="5" t="s">
        <v>146</v>
      </c>
      <c r="I350" s="5" t="s">
        <v>24</v>
      </c>
      <c r="J350" s="5" t="s">
        <v>121</v>
      </c>
      <c r="K350" s="5" t="s">
        <v>121</v>
      </c>
      <c r="L350" s="5" t="s">
        <v>26</v>
      </c>
      <c r="M350" s="5" t="s">
        <v>121</v>
      </c>
      <c r="N350" s="5" t="s">
        <v>38</v>
      </c>
      <c r="O350" s="5">
        <v>5</v>
      </c>
      <c r="P350" s="5">
        <v>121</v>
      </c>
      <c r="Q350" s="5">
        <v>20</v>
      </c>
      <c r="R350" s="5" t="s">
        <v>28</v>
      </c>
      <c r="S350" s="5" t="s">
        <v>29</v>
      </c>
      <c r="T350" s="5" t="s">
        <v>186</v>
      </c>
      <c r="U350" s="7" t="s">
        <v>158</v>
      </c>
    </row>
    <row r="351" spans="1:21" x14ac:dyDescent="0.25">
      <c r="A351" s="4">
        <v>1216535</v>
      </c>
      <c r="B351" s="5" t="s">
        <v>29</v>
      </c>
      <c r="C351" s="6">
        <v>44135</v>
      </c>
      <c r="D351" s="5" t="s">
        <v>355</v>
      </c>
      <c r="E351" s="5" t="s">
        <v>225</v>
      </c>
      <c r="F351" s="5" t="s">
        <v>143</v>
      </c>
      <c r="G351" s="5" t="s">
        <v>21</v>
      </c>
      <c r="H351" s="5" t="s">
        <v>225</v>
      </c>
      <c r="I351" s="5" t="s">
        <v>229</v>
      </c>
      <c r="J351" s="5" t="s">
        <v>41</v>
      </c>
      <c r="K351" s="5" t="s">
        <v>41</v>
      </c>
      <c r="L351" s="5" t="s">
        <v>26</v>
      </c>
      <c r="M351" s="5" t="s">
        <v>41</v>
      </c>
      <c r="N351" s="5" t="s">
        <v>38</v>
      </c>
      <c r="O351" s="5">
        <v>9</v>
      </c>
      <c r="P351" s="5">
        <v>111</v>
      </c>
      <c r="Q351" s="5">
        <v>20</v>
      </c>
      <c r="R351" s="5" t="s">
        <v>28</v>
      </c>
      <c r="S351" s="5" t="s">
        <v>29</v>
      </c>
      <c r="T351" s="5" t="s">
        <v>202</v>
      </c>
      <c r="U351" s="7" t="s">
        <v>90</v>
      </c>
    </row>
    <row r="352" spans="1:21" x14ac:dyDescent="0.25">
      <c r="A352" s="4">
        <v>1216506</v>
      </c>
      <c r="B352" s="5" t="s">
        <v>137</v>
      </c>
      <c r="C352" s="6">
        <v>44136</v>
      </c>
      <c r="D352" s="5" t="s">
        <v>355</v>
      </c>
      <c r="E352" s="5" t="s">
        <v>250</v>
      </c>
      <c r="F352" s="5" t="s">
        <v>138</v>
      </c>
      <c r="G352" s="5" t="s">
        <v>21</v>
      </c>
      <c r="H352" s="5" t="s">
        <v>250</v>
      </c>
      <c r="I352" s="5" t="s">
        <v>32</v>
      </c>
      <c r="J352" s="5" t="s">
        <v>33</v>
      </c>
      <c r="K352" s="5" t="s">
        <v>33</v>
      </c>
      <c r="L352" s="5" t="s">
        <v>26</v>
      </c>
      <c r="M352" s="5" t="s">
        <v>33</v>
      </c>
      <c r="N352" s="5" t="s">
        <v>38</v>
      </c>
      <c r="O352" s="5">
        <v>9</v>
      </c>
      <c r="P352" s="5">
        <v>154</v>
      </c>
      <c r="Q352" s="5">
        <v>20</v>
      </c>
      <c r="R352" s="5" t="s">
        <v>28</v>
      </c>
      <c r="S352" s="5" t="s">
        <v>29</v>
      </c>
      <c r="T352" s="5" t="s">
        <v>151</v>
      </c>
      <c r="U352" s="7" t="s">
        <v>173</v>
      </c>
    </row>
    <row r="353" spans="1:21" x14ac:dyDescent="0.25">
      <c r="A353" s="4">
        <v>1216530</v>
      </c>
      <c r="B353" s="5" t="s">
        <v>29</v>
      </c>
      <c r="C353" s="6">
        <v>44136</v>
      </c>
      <c r="D353" s="5" t="s">
        <v>355</v>
      </c>
      <c r="E353" s="5" t="s">
        <v>251</v>
      </c>
      <c r="F353" s="5" t="s">
        <v>143</v>
      </c>
      <c r="G353" s="5" t="s">
        <v>21</v>
      </c>
      <c r="H353" s="5" t="s">
        <v>251</v>
      </c>
      <c r="I353" s="5" t="s">
        <v>25</v>
      </c>
      <c r="J353" s="5" t="s">
        <v>37</v>
      </c>
      <c r="K353" s="5" t="s">
        <v>37</v>
      </c>
      <c r="L353" s="5" t="s">
        <v>26</v>
      </c>
      <c r="M353" s="5" t="s">
        <v>25</v>
      </c>
      <c r="N353" s="5" t="s">
        <v>27</v>
      </c>
      <c r="O353" s="5">
        <v>60</v>
      </c>
      <c r="P353" s="5">
        <v>192</v>
      </c>
      <c r="Q353" s="5">
        <v>20</v>
      </c>
      <c r="R353" s="5" t="s">
        <v>28</v>
      </c>
      <c r="S353" s="5" t="s">
        <v>29</v>
      </c>
      <c r="T353" s="5" t="s">
        <v>174</v>
      </c>
      <c r="U353" s="7" t="s">
        <v>90</v>
      </c>
    </row>
    <row r="354" spans="1:21" x14ac:dyDescent="0.25">
      <c r="A354" s="4">
        <v>1216505</v>
      </c>
      <c r="B354" s="5" t="s">
        <v>137</v>
      </c>
      <c r="C354" s="6">
        <v>44137</v>
      </c>
      <c r="D354" s="5" t="s">
        <v>355</v>
      </c>
      <c r="E354" s="5" t="s">
        <v>247</v>
      </c>
      <c r="F354" s="5" t="s">
        <v>138</v>
      </c>
      <c r="G354" s="5" t="s">
        <v>21</v>
      </c>
      <c r="H354" s="5" t="s">
        <v>247</v>
      </c>
      <c r="I354" s="5" t="s">
        <v>24</v>
      </c>
      <c r="J354" s="5" t="s">
        <v>229</v>
      </c>
      <c r="K354" s="5" t="s">
        <v>229</v>
      </c>
      <c r="L354" s="5" t="s">
        <v>26</v>
      </c>
      <c r="M354" s="5" t="s">
        <v>229</v>
      </c>
      <c r="N354" s="5" t="s">
        <v>38</v>
      </c>
      <c r="O354" s="5">
        <v>6</v>
      </c>
      <c r="P354" s="5">
        <v>153</v>
      </c>
      <c r="Q354" s="5">
        <v>20</v>
      </c>
      <c r="R354" s="5" t="s">
        <v>28</v>
      </c>
      <c r="S354" s="5" t="s">
        <v>29</v>
      </c>
      <c r="T354" s="5" t="s">
        <v>155</v>
      </c>
      <c r="U354" s="7" t="s">
        <v>70</v>
      </c>
    </row>
    <row r="355" spans="1:21" x14ac:dyDescent="0.25">
      <c r="A355" s="4">
        <v>1216495</v>
      </c>
      <c r="B355" s="5" t="s">
        <v>29</v>
      </c>
      <c r="C355" s="6">
        <v>44138</v>
      </c>
      <c r="D355" s="5" t="s">
        <v>355</v>
      </c>
      <c r="E355" s="5" t="s">
        <v>116</v>
      </c>
      <c r="F355" s="5" t="s">
        <v>141</v>
      </c>
      <c r="G355" s="5" t="s">
        <v>21</v>
      </c>
      <c r="H355" s="5" t="s">
        <v>116</v>
      </c>
      <c r="I355" s="5" t="s">
        <v>41</v>
      </c>
      <c r="J355" s="5" t="s">
        <v>121</v>
      </c>
      <c r="K355" s="5" t="s">
        <v>121</v>
      </c>
      <c r="L355" s="5" t="s">
        <v>26</v>
      </c>
      <c r="M355" s="5" t="s">
        <v>121</v>
      </c>
      <c r="N355" s="5" t="s">
        <v>38</v>
      </c>
      <c r="O355" s="5">
        <v>10</v>
      </c>
      <c r="P355" s="5">
        <v>150</v>
      </c>
      <c r="Q355" s="5">
        <v>20</v>
      </c>
      <c r="R355" s="5" t="s">
        <v>28</v>
      </c>
      <c r="S355" s="5" t="s">
        <v>29</v>
      </c>
      <c r="T355" s="5" t="s">
        <v>118</v>
      </c>
      <c r="U355" s="7" t="s">
        <v>139</v>
      </c>
    </row>
    <row r="356" spans="1:21" x14ac:dyDescent="0.25">
      <c r="A356" s="4">
        <v>1237177</v>
      </c>
      <c r="B356" s="5" t="s">
        <v>29</v>
      </c>
      <c r="C356" s="6">
        <v>44140</v>
      </c>
      <c r="D356" s="5" t="s">
        <v>355</v>
      </c>
      <c r="E356" s="5" t="s">
        <v>200</v>
      </c>
      <c r="F356" s="5" t="s">
        <v>143</v>
      </c>
      <c r="G356" s="5" t="s">
        <v>100</v>
      </c>
      <c r="H356" s="5" t="s">
        <v>200</v>
      </c>
      <c r="I356" s="5" t="s">
        <v>41</v>
      </c>
      <c r="J356" s="5" t="s">
        <v>229</v>
      </c>
      <c r="K356" s="5" t="s">
        <v>229</v>
      </c>
      <c r="L356" s="5" t="s">
        <v>26</v>
      </c>
      <c r="M356" s="5" t="s">
        <v>41</v>
      </c>
      <c r="N356" s="5" t="s">
        <v>27</v>
      </c>
      <c r="O356" s="5">
        <v>57</v>
      </c>
      <c r="P356" s="5">
        <v>201</v>
      </c>
      <c r="Q356" s="5">
        <v>20</v>
      </c>
      <c r="R356" s="5" t="s">
        <v>28</v>
      </c>
      <c r="S356" s="5" t="s">
        <v>29</v>
      </c>
      <c r="T356" s="5" t="s">
        <v>155</v>
      </c>
      <c r="U356" s="7" t="s">
        <v>174</v>
      </c>
    </row>
    <row r="357" spans="1:21" x14ac:dyDescent="0.25">
      <c r="A357" s="4">
        <v>1237178</v>
      </c>
      <c r="B357" s="5" t="s">
        <v>137</v>
      </c>
      <c r="C357" s="6">
        <v>44141</v>
      </c>
      <c r="D357" s="5" t="s">
        <v>355</v>
      </c>
      <c r="E357" s="5" t="s">
        <v>204</v>
      </c>
      <c r="F357" s="5" t="s">
        <v>138</v>
      </c>
      <c r="G357" s="5" t="s">
        <v>136</v>
      </c>
      <c r="H357" s="5" t="s">
        <v>204</v>
      </c>
      <c r="I357" s="5" t="s">
        <v>24</v>
      </c>
      <c r="J357" s="5" t="s">
        <v>121</v>
      </c>
      <c r="K357" s="5" t="s">
        <v>121</v>
      </c>
      <c r="L357" s="5" t="s">
        <v>26</v>
      </c>
      <c r="M357" s="5" t="s">
        <v>121</v>
      </c>
      <c r="N357" s="5" t="s">
        <v>38</v>
      </c>
      <c r="O357" s="5">
        <v>6</v>
      </c>
      <c r="P357" s="5">
        <v>132</v>
      </c>
      <c r="Q357" s="5">
        <v>20</v>
      </c>
      <c r="R357" s="5" t="s">
        <v>28</v>
      </c>
      <c r="S357" s="5" t="s">
        <v>29</v>
      </c>
      <c r="T357" s="5" t="s">
        <v>90</v>
      </c>
      <c r="U357" s="7" t="s">
        <v>70</v>
      </c>
    </row>
    <row r="358" spans="1:21" x14ac:dyDescent="0.25">
      <c r="A358" s="4">
        <v>1237180</v>
      </c>
      <c r="B358" s="5" t="s">
        <v>137</v>
      </c>
      <c r="C358" s="6">
        <v>44143</v>
      </c>
      <c r="D358" s="5" t="s">
        <v>355</v>
      </c>
      <c r="E358" s="5" t="s">
        <v>188</v>
      </c>
      <c r="F358" s="5" t="s">
        <v>138</v>
      </c>
      <c r="G358" s="5" t="s">
        <v>102</v>
      </c>
      <c r="H358" s="5" t="s">
        <v>188</v>
      </c>
      <c r="I358" s="5" t="s">
        <v>229</v>
      </c>
      <c r="J358" s="5" t="s">
        <v>121</v>
      </c>
      <c r="K358" s="5" t="s">
        <v>229</v>
      </c>
      <c r="L358" s="5" t="s">
        <v>34</v>
      </c>
      <c r="M358" s="5" t="s">
        <v>229</v>
      </c>
      <c r="N358" s="5" t="s">
        <v>27</v>
      </c>
      <c r="O358" s="5">
        <v>17</v>
      </c>
      <c r="P358" s="5">
        <v>190</v>
      </c>
      <c r="Q358" s="5">
        <v>20</v>
      </c>
      <c r="R358" s="5" t="s">
        <v>28</v>
      </c>
      <c r="S358" s="5" t="s">
        <v>29</v>
      </c>
      <c r="T358" s="5" t="s">
        <v>90</v>
      </c>
      <c r="U358" s="7" t="s">
        <v>70</v>
      </c>
    </row>
    <row r="359" spans="1:21" x14ac:dyDescent="0.25">
      <c r="A359" s="4">
        <v>1237181</v>
      </c>
      <c r="B359" s="5" t="s">
        <v>29</v>
      </c>
      <c r="C359" s="6">
        <v>44145</v>
      </c>
      <c r="D359" s="5" t="s">
        <v>355</v>
      </c>
      <c r="E359" s="5" t="s">
        <v>164</v>
      </c>
      <c r="F359" s="5" t="s">
        <v>143</v>
      </c>
      <c r="G359" s="5" t="s">
        <v>61</v>
      </c>
      <c r="H359" s="5" t="s">
        <v>164</v>
      </c>
      <c r="I359" s="5" t="s">
        <v>229</v>
      </c>
      <c r="J359" s="5" t="s">
        <v>41</v>
      </c>
      <c r="K359" s="5" t="s">
        <v>229</v>
      </c>
      <c r="L359" s="5" t="s">
        <v>34</v>
      </c>
      <c r="M359" s="5" t="s">
        <v>41</v>
      </c>
      <c r="N359" s="5" t="s">
        <v>38</v>
      </c>
      <c r="O359" s="5">
        <v>5</v>
      </c>
      <c r="P359" s="5">
        <v>157</v>
      </c>
      <c r="Q359" s="5">
        <v>20</v>
      </c>
      <c r="R359" s="5" t="s">
        <v>28</v>
      </c>
      <c r="S359" s="5" t="s">
        <v>29</v>
      </c>
      <c r="T359" s="5" t="s">
        <v>155</v>
      </c>
      <c r="U359" s="7" t="s">
        <v>174</v>
      </c>
    </row>
    <row r="360" spans="1:21" x14ac:dyDescent="0.25">
      <c r="A360" s="4">
        <v>1254058</v>
      </c>
      <c r="B360" s="5" t="s">
        <v>49</v>
      </c>
      <c r="C360" s="6">
        <v>44295</v>
      </c>
      <c r="D360" s="5" t="s">
        <v>356</v>
      </c>
      <c r="E360" s="5" t="s">
        <v>210</v>
      </c>
      <c r="F360" s="5" t="s">
        <v>252</v>
      </c>
      <c r="G360" s="5" t="s">
        <v>21</v>
      </c>
      <c r="H360" s="5" t="s">
        <v>210</v>
      </c>
      <c r="I360" s="5" t="s">
        <v>41</v>
      </c>
      <c r="J360" s="5" t="s">
        <v>24</v>
      </c>
      <c r="K360" s="5" t="s">
        <v>24</v>
      </c>
      <c r="L360" s="5" t="s">
        <v>26</v>
      </c>
      <c r="M360" s="5" t="s">
        <v>24</v>
      </c>
      <c r="N360" s="5" t="s">
        <v>38</v>
      </c>
      <c r="O360" s="5">
        <v>2</v>
      </c>
      <c r="P360" s="5">
        <v>160</v>
      </c>
      <c r="Q360" s="5">
        <v>20</v>
      </c>
      <c r="R360" s="5" t="s">
        <v>28</v>
      </c>
      <c r="S360" s="5" t="s">
        <v>29</v>
      </c>
      <c r="T360" s="5" t="s">
        <v>186</v>
      </c>
      <c r="U360" s="7" t="s">
        <v>174</v>
      </c>
    </row>
    <row r="361" spans="1:21" x14ac:dyDescent="0.25">
      <c r="A361" s="4">
        <v>1254059</v>
      </c>
      <c r="B361" s="5" t="s">
        <v>39</v>
      </c>
      <c r="C361" s="6">
        <v>44296</v>
      </c>
      <c r="D361" s="5" t="s">
        <v>356</v>
      </c>
      <c r="E361" s="5" t="s">
        <v>98</v>
      </c>
      <c r="F361" s="5" t="s">
        <v>253</v>
      </c>
      <c r="G361" s="5" t="s">
        <v>21</v>
      </c>
      <c r="H361" s="5" t="s">
        <v>98</v>
      </c>
      <c r="I361" s="5" t="s">
        <v>33</v>
      </c>
      <c r="J361" s="5" t="s">
        <v>229</v>
      </c>
      <c r="K361" s="5" t="s">
        <v>229</v>
      </c>
      <c r="L361" s="5" t="s">
        <v>26</v>
      </c>
      <c r="M361" s="5" t="s">
        <v>229</v>
      </c>
      <c r="N361" s="5" t="s">
        <v>38</v>
      </c>
      <c r="O361" s="5">
        <v>7</v>
      </c>
      <c r="P361" s="5">
        <v>189</v>
      </c>
      <c r="Q361" s="5">
        <v>20</v>
      </c>
      <c r="R361" s="5" t="s">
        <v>28</v>
      </c>
      <c r="S361" s="5" t="s">
        <v>29</v>
      </c>
      <c r="T361" s="5" t="s">
        <v>105</v>
      </c>
      <c r="U361" s="7" t="s">
        <v>173</v>
      </c>
    </row>
    <row r="362" spans="1:21" x14ac:dyDescent="0.25">
      <c r="A362" s="4">
        <v>1254060</v>
      </c>
      <c r="B362" s="5" t="s">
        <v>49</v>
      </c>
      <c r="C362" s="6">
        <v>44297</v>
      </c>
      <c r="D362" s="5" t="s">
        <v>356</v>
      </c>
      <c r="E362" s="5" t="s">
        <v>199</v>
      </c>
      <c r="F362" s="5" t="s">
        <v>252</v>
      </c>
      <c r="G362" s="5" t="s">
        <v>21</v>
      </c>
      <c r="H362" s="5" t="s">
        <v>199</v>
      </c>
      <c r="I362" s="5" t="s">
        <v>25</v>
      </c>
      <c r="J362" s="5" t="s">
        <v>121</v>
      </c>
      <c r="K362" s="5" t="s">
        <v>121</v>
      </c>
      <c r="L362" s="5" t="s">
        <v>26</v>
      </c>
      <c r="M362" s="5" t="s">
        <v>25</v>
      </c>
      <c r="N362" s="5" t="s">
        <v>27</v>
      </c>
      <c r="O362" s="5">
        <v>10</v>
      </c>
      <c r="P362" s="5">
        <v>188</v>
      </c>
      <c r="Q362" s="5">
        <v>20</v>
      </c>
      <c r="R362" s="5" t="s">
        <v>28</v>
      </c>
      <c r="S362" s="5" t="s">
        <v>29</v>
      </c>
      <c r="T362" s="5" t="s">
        <v>186</v>
      </c>
      <c r="U362" s="7" t="s">
        <v>174</v>
      </c>
    </row>
    <row r="363" spans="1:21" x14ac:dyDescent="0.25">
      <c r="A363" s="4">
        <v>1254061</v>
      </c>
      <c r="B363" s="5" t="s">
        <v>39</v>
      </c>
      <c r="C363" s="6">
        <v>44298</v>
      </c>
      <c r="D363" s="5" t="s">
        <v>356</v>
      </c>
      <c r="E363" s="5" t="s">
        <v>131</v>
      </c>
      <c r="F363" s="5" t="s">
        <v>253</v>
      </c>
      <c r="G363" s="5" t="s">
        <v>21</v>
      </c>
      <c r="H363" s="5" t="s">
        <v>131</v>
      </c>
      <c r="I363" s="5" t="s">
        <v>254</v>
      </c>
      <c r="J363" s="5" t="s">
        <v>37</v>
      </c>
      <c r="K363" s="5" t="s">
        <v>37</v>
      </c>
      <c r="L363" s="5" t="s">
        <v>26</v>
      </c>
      <c r="M363" s="5" t="s">
        <v>254</v>
      </c>
      <c r="N363" s="5" t="s">
        <v>27</v>
      </c>
      <c r="O363" s="5">
        <v>4</v>
      </c>
      <c r="P363" s="5">
        <v>222</v>
      </c>
      <c r="Q363" s="5">
        <v>20</v>
      </c>
      <c r="R363" s="5" t="s">
        <v>28</v>
      </c>
      <c r="S363" s="5" t="s">
        <v>29</v>
      </c>
      <c r="T363" s="5" t="s">
        <v>105</v>
      </c>
      <c r="U363" s="7" t="s">
        <v>70</v>
      </c>
    </row>
    <row r="364" spans="1:21" x14ac:dyDescent="0.25">
      <c r="A364" s="4">
        <v>1254062</v>
      </c>
      <c r="B364" s="5" t="s">
        <v>49</v>
      </c>
      <c r="C364" s="6">
        <v>44299</v>
      </c>
      <c r="D364" s="5" t="s">
        <v>356</v>
      </c>
      <c r="E364" s="5" t="s">
        <v>255</v>
      </c>
      <c r="F364" s="5" t="s">
        <v>252</v>
      </c>
      <c r="G364" s="5" t="s">
        <v>21</v>
      </c>
      <c r="H364" s="5" t="s">
        <v>255</v>
      </c>
      <c r="I364" s="5" t="s">
        <v>41</v>
      </c>
      <c r="J364" s="5" t="s">
        <v>25</v>
      </c>
      <c r="K364" s="5" t="s">
        <v>25</v>
      </c>
      <c r="L364" s="5" t="s">
        <v>26</v>
      </c>
      <c r="M364" s="5" t="s">
        <v>41</v>
      </c>
      <c r="N364" s="5" t="s">
        <v>27</v>
      </c>
      <c r="O364" s="5">
        <v>10</v>
      </c>
      <c r="P364" s="5">
        <v>153</v>
      </c>
      <c r="Q364" s="5">
        <v>20</v>
      </c>
      <c r="R364" s="5" t="s">
        <v>28</v>
      </c>
      <c r="S364" s="5" t="s">
        <v>29</v>
      </c>
      <c r="T364" s="5" t="s">
        <v>118</v>
      </c>
      <c r="U364" s="7" t="s">
        <v>155</v>
      </c>
    </row>
    <row r="365" spans="1:21" x14ac:dyDescent="0.25">
      <c r="A365" s="4">
        <v>1254063</v>
      </c>
      <c r="B365" s="5" t="s">
        <v>49</v>
      </c>
      <c r="C365" s="6">
        <v>44300</v>
      </c>
      <c r="D365" s="5" t="s">
        <v>356</v>
      </c>
      <c r="E365" s="5" t="s">
        <v>142</v>
      </c>
      <c r="F365" s="5" t="s">
        <v>252</v>
      </c>
      <c r="G365" s="5" t="s">
        <v>21</v>
      </c>
      <c r="H365" s="5" t="s">
        <v>142</v>
      </c>
      <c r="I365" s="5" t="s">
        <v>24</v>
      </c>
      <c r="J365" s="5" t="s">
        <v>121</v>
      </c>
      <c r="K365" s="5" t="s">
        <v>121</v>
      </c>
      <c r="L365" s="5" t="s">
        <v>26</v>
      </c>
      <c r="M365" s="5" t="s">
        <v>24</v>
      </c>
      <c r="N365" s="5" t="s">
        <v>27</v>
      </c>
      <c r="O365" s="5">
        <v>6</v>
      </c>
      <c r="P365" s="5">
        <v>150</v>
      </c>
      <c r="Q365" s="5">
        <v>20</v>
      </c>
      <c r="R365" s="5" t="s">
        <v>28</v>
      </c>
      <c r="S365" s="5" t="s">
        <v>29</v>
      </c>
      <c r="T365" s="5" t="s">
        <v>174</v>
      </c>
      <c r="U365" s="7" t="s">
        <v>237</v>
      </c>
    </row>
    <row r="366" spans="1:21" x14ac:dyDescent="0.25">
      <c r="A366" s="4">
        <v>1254064</v>
      </c>
      <c r="B366" s="5" t="s">
        <v>39</v>
      </c>
      <c r="C366" s="6">
        <v>44301</v>
      </c>
      <c r="D366" s="5" t="s">
        <v>356</v>
      </c>
      <c r="E366" s="5" t="s">
        <v>89</v>
      </c>
      <c r="F366" s="5" t="s">
        <v>253</v>
      </c>
      <c r="G366" s="5" t="s">
        <v>21</v>
      </c>
      <c r="H366" s="5" t="s">
        <v>89</v>
      </c>
      <c r="I366" s="5" t="s">
        <v>229</v>
      </c>
      <c r="J366" s="5" t="s">
        <v>37</v>
      </c>
      <c r="K366" s="5" t="s">
        <v>37</v>
      </c>
      <c r="L366" s="5" t="s">
        <v>26</v>
      </c>
      <c r="M366" s="5" t="s">
        <v>37</v>
      </c>
      <c r="N366" s="5" t="s">
        <v>38</v>
      </c>
      <c r="O366" s="5">
        <v>3</v>
      </c>
      <c r="P366" s="5">
        <v>148</v>
      </c>
      <c r="Q366" s="5">
        <v>20</v>
      </c>
      <c r="R366" s="5" t="s">
        <v>28</v>
      </c>
      <c r="S366" s="5" t="s">
        <v>29</v>
      </c>
      <c r="T366" s="5" t="s">
        <v>70</v>
      </c>
      <c r="U366" s="7" t="s">
        <v>173</v>
      </c>
    </row>
    <row r="367" spans="1:21" x14ac:dyDescent="0.25">
      <c r="A367" s="4">
        <v>1254065</v>
      </c>
      <c r="B367" s="5" t="s">
        <v>39</v>
      </c>
      <c r="C367" s="6">
        <v>44302</v>
      </c>
      <c r="D367" s="5" t="s">
        <v>356</v>
      </c>
      <c r="E367" s="5" t="s">
        <v>236</v>
      </c>
      <c r="F367" s="5" t="s">
        <v>253</v>
      </c>
      <c r="G367" s="5" t="s">
        <v>21</v>
      </c>
      <c r="H367" s="5" t="s">
        <v>236</v>
      </c>
      <c r="I367" s="5" t="s">
        <v>254</v>
      </c>
      <c r="J367" s="5" t="s">
        <v>33</v>
      </c>
      <c r="K367" s="5" t="s">
        <v>33</v>
      </c>
      <c r="L367" s="5" t="s">
        <v>26</v>
      </c>
      <c r="M367" s="5" t="s">
        <v>33</v>
      </c>
      <c r="N367" s="5" t="s">
        <v>38</v>
      </c>
      <c r="O367" s="5">
        <v>6</v>
      </c>
      <c r="P367" s="5">
        <v>107</v>
      </c>
      <c r="Q367" s="5">
        <v>20</v>
      </c>
      <c r="R367" s="5" t="s">
        <v>28</v>
      </c>
      <c r="S367" s="5" t="s">
        <v>29</v>
      </c>
      <c r="T367" s="5" t="s">
        <v>105</v>
      </c>
      <c r="U367" s="7" t="s">
        <v>183</v>
      </c>
    </row>
    <row r="368" spans="1:21" x14ac:dyDescent="0.25">
      <c r="A368" s="4">
        <v>1254066</v>
      </c>
      <c r="B368" s="5" t="s">
        <v>49</v>
      </c>
      <c r="C368" s="6">
        <v>44303</v>
      </c>
      <c r="D368" s="5" t="s">
        <v>356</v>
      </c>
      <c r="E368" s="5" t="s">
        <v>86</v>
      </c>
      <c r="F368" s="5" t="s">
        <v>252</v>
      </c>
      <c r="G368" s="5" t="s">
        <v>21</v>
      </c>
      <c r="H368" s="5" t="s">
        <v>86</v>
      </c>
      <c r="I368" s="5" t="s">
        <v>41</v>
      </c>
      <c r="J368" s="5" t="s">
        <v>121</v>
      </c>
      <c r="K368" s="5" t="s">
        <v>41</v>
      </c>
      <c r="L368" s="5" t="s">
        <v>34</v>
      </c>
      <c r="M368" s="5" t="s">
        <v>41</v>
      </c>
      <c r="N368" s="5" t="s">
        <v>27</v>
      </c>
      <c r="O368" s="5">
        <v>13</v>
      </c>
      <c r="P368" s="5">
        <v>151</v>
      </c>
      <c r="Q368" s="5">
        <v>20</v>
      </c>
      <c r="R368" s="5" t="s">
        <v>28</v>
      </c>
      <c r="S368" s="5" t="s">
        <v>29</v>
      </c>
      <c r="T368" s="5" t="s">
        <v>155</v>
      </c>
      <c r="U368" s="7" t="s">
        <v>158</v>
      </c>
    </row>
    <row r="369" spans="1:21" x14ac:dyDescent="0.25">
      <c r="A369" s="4">
        <v>1254067</v>
      </c>
      <c r="B369" s="5" t="s">
        <v>49</v>
      </c>
      <c r="C369" s="6">
        <v>44304</v>
      </c>
      <c r="D369" s="5" t="s">
        <v>356</v>
      </c>
      <c r="E369" s="5" t="s">
        <v>64</v>
      </c>
      <c r="F369" s="5" t="s">
        <v>252</v>
      </c>
      <c r="G369" s="5" t="s">
        <v>21</v>
      </c>
      <c r="H369" s="5" t="s">
        <v>64</v>
      </c>
      <c r="I369" s="5" t="s">
        <v>24</v>
      </c>
      <c r="J369" s="5" t="s">
        <v>25</v>
      </c>
      <c r="K369" s="5" t="s">
        <v>24</v>
      </c>
      <c r="L369" s="5" t="s">
        <v>34</v>
      </c>
      <c r="M369" s="5" t="s">
        <v>24</v>
      </c>
      <c r="N369" s="5" t="s">
        <v>27</v>
      </c>
      <c r="O369" s="5">
        <v>38</v>
      </c>
      <c r="P369" s="5">
        <v>205</v>
      </c>
      <c r="Q369" s="5">
        <v>20</v>
      </c>
      <c r="R369" s="5" t="s">
        <v>28</v>
      </c>
      <c r="S369" s="5" t="s">
        <v>29</v>
      </c>
      <c r="T369" s="5" t="s">
        <v>118</v>
      </c>
      <c r="U369" s="7" t="s">
        <v>174</v>
      </c>
    </row>
    <row r="370" spans="1:21" x14ac:dyDescent="0.25">
      <c r="A370" s="4">
        <v>1254068</v>
      </c>
      <c r="B370" s="5" t="s">
        <v>39</v>
      </c>
      <c r="C370" s="6">
        <v>44304</v>
      </c>
      <c r="D370" s="5" t="s">
        <v>356</v>
      </c>
      <c r="E370" s="5" t="s">
        <v>98</v>
      </c>
      <c r="F370" s="5" t="s">
        <v>253</v>
      </c>
      <c r="G370" s="5" t="s">
        <v>21</v>
      </c>
      <c r="H370" s="5" t="s">
        <v>98</v>
      </c>
      <c r="I370" s="5" t="s">
        <v>254</v>
      </c>
      <c r="J370" s="5" t="s">
        <v>229</v>
      </c>
      <c r="K370" s="5" t="s">
        <v>229</v>
      </c>
      <c r="L370" s="5" t="s">
        <v>26</v>
      </c>
      <c r="M370" s="5" t="s">
        <v>229</v>
      </c>
      <c r="N370" s="5" t="s">
        <v>38</v>
      </c>
      <c r="O370" s="5">
        <v>6</v>
      </c>
      <c r="P370" s="5">
        <v>196</v>
      </c>
      <c r="Q370" s="5">
        <v>20</v>
      </c>
      <c r="R370" s="5" t="s">
        <v>28</v>
      </c>
      <c r="S370" s="5" t="s">
        <v>29</v>
      </c>
      <c r="T370" s="5" t="s">
        <v>105</v>
      </c>
      <c r="U370" s="7" t="s">
        <v>90</v>
      </c>
    </row>
    <row r="371" spans="1:21" x14ac:dyDescent="0.25">
      <c r="A371" s="4">
        <v>1254069</v>
      </c>
      <c r="B371" s="5" t="s">
        <v>39</v>
      </c>
      <c r="C371" s="6">
        <v>44305</v>
      </c>
      <c r="D371" s="5" t="s">
        <v>356</v>
      </c>
      <c r="E371" s="5" t="s">
        <v>256</v>
      </c>
      <c r="F371" s="5" t="s">
        <v>253</v>
      </c>
      <c r="G371" s="5" t="s">
        <v>21</v>
      </c>
      <c r="H371" s="5" t="s">
        <v>256</v>
      </c>
      <c r="I371" s="5" t="s">
        <v>33</v>
      </c>
      <c r="J371" s="5" t="s">
        <v>37</v>
      </c>
      <c r="K371" s="5" t="s">
        <v>37</v>
      </c>
      <c r="L371" s="5" t="s">
        <v>26</v>
      </c>
      <c r="M371" s="5" t="s">
        <v>33</v>
      </c>
      <c r="N371" s="5" t="s">
        <v>27</v>
      </c>
      <c r="O371" s="5">
        <v>45</v>
      </c>
      <c r="P371" s="5">
        <v>189</v>
      </c>
      <c r="Q371" s="5">
        <v>20</v>
      </c>
      <c r="R371" s="5" t="s">
        <v>28</v>
      </c>
      <c r="S371" s="5" t="s">
        <v>29</v>
      </c>
      <c r="T371" s="5" t="s">
        <v>90</v>
      </c>
      <c r="U371" s="7" t="s">
        <v>173</v>
      </c>
    </row>
    <row r="372" spans="1:21" x14ac:dyDescent="0.25">
      <c r="A372" s="4">
        <v>1254070</v>
      </c>
      <c r="B372" s="5" t="s">
        <v>49</v>
      </c>
      <c r="C372" s="6">
        <v>44306</v>
      </c>
      <c r="D372" s="5" t="s">
        <v>356</v>
      </c>
      <c r="E372" s="5" t="s">
        <v>56</v>
      </c>
      <c r="F372" s="5" t="s">
        <v>252</v>
      </c>
      <c r="G372" s="5" t="s">
        <v>21</v>
      </c>
      <c r="H372" s="5" t="s">
        <v>56</v>
      </c>
      <c r="I372" s="5" t="s">
        <v>41</v>
      </c>
      <c r="J372" s="5" t="s">
        <v>229</v>
      </c>
      <c r="K372" s="5" t="s">
        <v>41</v>
      </c>
      <c r="L372" s="5" t="s">
        <v>34</v>
      </c>
      <c r="M372" s="5" t="s">
        <v>229</v>
      </c>
      <c r="N372" s="5" t="s">
        <v>38</v>
      </c>
      <c r="O372" s="5">
        <v>6</v>
      </c>
      <c r="P372" s="5">
        <v>138</v>
      </c>
      <c r="Q372" s="5">
        <v>20</v>
      </c>
      <c r="R372" s="5" t="s">
        <v>28</v>
      </c>
      <c r="S372" s="5" t="s">
        <v>29</v>
      </c>
      <c r="T372" s="5" t="s">
        <v>118</v>
      </c>
      <c r="U372" s="7" t="s">
        <v>155</v>
      </c>
    </row>
    <row r="373" spans="1:21" x14ac:dyDescent="0.25">
      <c r="A373" s="4">
        <v>1254071</v>
      </c>
      <c r="B373" s="5" t="s">
        <v>49</v>
      </c>
      <c r="C373" s="6">
        <v>44307</v>
      </c>
      <c r="D373" s="5" t="s">
        <v>356</v>
      </c>
      <c r="E373" s="5" t="s">
        <v>231</v>
      </c>
      <c r="F373" s="5" t="s">
        <v>252</v>
      </c>
      <c r="G373" s="5" t="s">
        <v>21</v>
      </c>
      <c r="H373" s="5" t="s">
        <v>231</v>
      </c>
      <c r="I373" s="5" t="s">
        <v>254</v>
      </c>
      <c r="J373" s="5" t="s">
        <v>121</v>
      </c>
      <c r="K373" s="5" t="s">
        <v>254</v>
      </c>
      <c r="L373" s="5" t="s">
        <v>34</v>
      </c>
      <c r="M373" s="5" t="s">
        <v>121</v>
      </c>
      <c r="N373" s="5" t="s">
        <v>38</v>
      </c>
      <c r="O373" s="5">
        <v>9</v>
      </c>
      <c r="P373" s="5">
        <v>121</v>
      </c>
      <c r="Q373" s="5">
        <v>20</v>
      </c>
      <c r="R373" s="5" t="s">
        <v>28</v>
      </c>
      <c r="S373" s="5" t="s">
        <v>29</v>
      </c>
      <c r="T373" s="5" t="s">
        <v>158</v>
      </c>
      <c r="U373" s="7" t="s">
        <v>174</v>
      </c>
    </row>
    <row r="374" spans="1:21" x14ac:dyDescent="0.25">
      <c r="A374" s="4">
        <v>1254072</v>
      </c>
      <c r="B374" s="5" t="s">
        <v>39</v>
      </c>
      <c r="C374" s="6">
        <v>44307</v>
      </c>
      <c r="D374" s="5" t="s">
        <v>356</v>
      </c>
      <c r="E374" s="5" t="s">
        <v>114</v>
      </c>
      <c r="F374" s="5" t="s">
        <v>253</v>
      </c>
      <c r="G374" s="5" t="s">
        <v>21</v>
      </c>
      <c r="H374" s="5" t="s">
        <v>114</v>
      </c>
      <c r="I374" s="5" t="s">
        <v>33</v>
      </c>
      <c r="J374" s="5" t="s">
        <v>25</v>
      </c>
      <c r="K374" s="5" t="s">
        <v>25</v>
      </c>
      <c r="L374" s="5" t="s">
        <v>26</v>
      </c>
      <c r="M374" s="5" t="s">
        <v>33</v>
      </c>
      <c r="N374" s="5" t="s">
        <v>27</v>
      </c>
      <c r="O374" s="5">
        <v>18</v>
      </c>
      <c r="P374" s="5">
        <v>221</v>
      </c>
      <c r="Q374" s="5">
        <v>20</v>
      </c>
      <c r="R374" s="5" t="s">
        <v>28</v>
      </c>
      <c r="S374" s="5" t="s">
        <v>29</v>
      </c>
      <c r="T374" s="5" t="s">
        <v>183</v>
      </c>
      <c r="U374" s="7" t="s">
        <v>90</v>
      </c>
    </row>
    <row r="375" spans="1:21" x14ac:dyDescent="0.25">
      <c r="A375" s="4">
        <v>1254073</v>
      </c>
      <c r="B375" s="5" t="s">
        <v>39</v>
      </c>
      <c r="C375" s="6">
        <v>44308</v>
      </c>
      <c r="D375" s="5" t="s">
        <v>356</v>
      </c>
      <c r="E375" s="5" t="s">
        <v>257</v>
      </c>
      <c r="F375" s="5" t="s">
        <v>253</v>
      </c>
      <c r="G375" s="5" t="s">
        <v>21</v>
      </c>
      <c r="H375" s="5" t="s">
        <v>257</v>
      </c>
      <c r="I375" s="5" t="s">
        <v>37</v>
      </c>
      <c r="J375" s="5" t="s">
        <v>24</v>
      </c>
      <c r="K375" s="5" t="s">
        <v>24</v>
      </c>
      <c r="L375" s="5" t="s">
        <v>26</v>
      </c>
      <c r="M375" s="5" t="s">
        <v>24</v>
      </c>
      <c r="N375" s="5" t="s">
        <v>38</v>
      </c>
      <c r="O375" s="5">
        <v>10</v>
      </c>
      <c r="P375" s="5">
        <v>178</v>
      </c>
      <c r="Q375" s="5">
        <v>20</v>
      </c>
      <c r="R375" s="5" t="s">
        <v>28</v>
      </c>
      <c r="S375" s="5" t="s">
        <v>29</v>
      </c>
      <c r="T375" s="5" t="s">
        <v>258</v>
      </c>
      <c r="U375" s="7" t="s">
        <v>70</v>
      </c>
    </row>
    <row r="376" spans="1:21" x14ac:dyDescent="0.25">
      <c r="A376" s="4">
        <v>1254074</v>
      </c>
      <c r="B376" s="5" t="s">
        <v>49</v>
      </c>
      <c r="C376" s="6">
        <v>44309</v>
      </c>
      <c r="D376" s="5" t="s">
        <v>356</v>
      </c>
      <c r="E376" s="5" t="s">
        <v>213</v>
      </c>
      <c r="F376" s="5" t="s">
        <v>252</v>
      </c>
      <c r="G376" s="5" t="s">
        <v>21</v>
      </c>
      <c r="H376" s="5" t="s">
        <v>213</v>
      </c>
      <c r="I376" s="5" t="s">
        <v>41</v>
      </c>
      <c r="J376" s="5" t="s">
        <v>254</v>
      </c>
      <c r="K376" s="5" t="s">
        <v>254</v>
      </c>
      <c r="L376" s="5" t="s">
        <v>26</v>
      </c>
      <c r="M376" s="5" t="s">
        <v>254</v>
      </c>
      <c r="N376" s="5" t="s">
        <v>38</v>
      </c>
      <c r="O376" s="5">
        <v>9</v>
      </c>
      <c r="P376" s="5">
        <v>132</v>
      </c>
      <c r="Q376" s="5">
        <v>20</v>
      </c>
      <c r="R376" s="5" t="s">
        <v>28</v>
      </c>
      <c r="S376" s="5" t="s">
        <v>29</v>
      </c>
      <c r="T376" s="5" t="s">
        <v>118</v>
      </c>
      <c r="U376" s="7" t="s">
        <v>174</v>
      </c>
    </row>
    <row r="377" spans="1:21" x14ac:dyDescent="0.25">
      <c r="A377" s="4">
        <v>1254075</v>
      </c>
      <c r="B377" s="5" t="s">
        <v>39</v>
      </c>
      <c r="C377" s="6">
        <v>44310</v>
      </c>
      <c r="D377" s="5" t="s">
        <v>356</v>
      </c>
      <c r="E377" s="5" t="s">
        <v>184</v>
      </c>
      <c r="F377" s="5" t="s">
        <v>253</v>
      </c>
      <c r="G377" s="5" t="s">
        <v>21</v>
      </c>
      <c r="H377" s="5" t="s">
        <v>184</v>
      </c>
      <c r="I377" s="5" t="s">
        <v>25</v>
      </c>
      <c r="J377" s="5" t="s">
        <v>37</v>
      </c>
      <c r="K377" s="5" t="s">
        <v>37</v>
      </c>
      <c r="L377" s="5" t="s">
        <v>26</v>
      </c>
      <c r="M377" s="5" t="s">
        <v>37</v>
      </c>
      <c r="N377" s="5" t="s">
        <v>38</v>
      </c>
      <c r="O377" s="5">
        <v>6</v>
      </c>
      <c r="P377" s="5">
        <v>134</v>
      </c>
      <c r="Q377" s="5">
        <v>20</v>
      </c>
      <c r="R377" s="5" t="s">
        <v>28</v>
      </c>
      <c r="S377" s="5" t="s">
        <v>29</v>
      </c>
      <c r="T377" s="5" t="s">
        <v>259</v>
      </c>
      <c r="U377" s="7" t="s">
        <v>70</v>
      </c>
    </row>
    <row r="378" spans="1:21" x14ac:dyDescent="0.25">
      <c r="A378" s="4">
        <v>1254076</v>
      </c>
      <c r="B378" s="5" t="s">
        <v>39</v>
      </c>
      <c r="C378" s="6">
        <v>44311</v>
      </c>
      <c r="D378" s="5" t="s">
        <v>356</v>
      </c>
      <c r="E378" s="5" t="s">
        <v>108</v>
      </c>
      <c r="F378" s="5" t="s">
        <v>253</v>
      </c>
      <c r="G378" s="5" t="s">
        <v>21</v>
      </c>
      <c r="H378" s="5" t="s">
        <v>108</v>
      </c>
      <c r="I378" s="5" t="s">
        <v>33</v>
      </c>
      <c r="J378" s="5" t="s">
        <v>24</v>
      </c>
      <c r="K378" s="5" t="s">
        <v>33</v>
      </c>
      <c r="L378" s="5" t="s">
        <v>34</v>
      </c>
      <c r="M378" s="5" t="s">
        <v>33</v>
      </c>
      <c r="N378" s="5" t="s">
        <v>27</v>
      </c>
      <c r="O378" s="5">
        <v>69</v>
      </c>
      <c r="P378" s="5">
        <v>192</v>
      </c>
      <c r="Q378" s="5">
        <v>20</v>
      </c>
      <c r="R378" s="5" t="s">
        <v>28</v>
      </c>
      <c r="S378" s="5" t="s">
        <v>29</v>
      </c>
      <c r="T378" s="5" t="s">
        <v>105</v>
      </c>
      <c r="U378" s="7" t="s">
        <v>173</v>
      </c>
    </row>
    <row r="379" spans="1:21" x14ac:dyDescent="0.25">
      <c r="A379" s="4">
        <v>1254077</v>
      </c>
      <c r="B379" s="5" t="s">
        <v>49</v>
      </c>
      <c r="C379" s="6">
        <v>44311</v>
      </c>
      <c r="D379" s="5" t="s">
        <v>356</v>
      </c>
      <c r="E379" s="5" t="s">
        <v>230</v>
      </c>
      <c r="F379" s="5" t="s">
        <v>252</v>
      </c>
      <c r="G379" s="5" t="s">
        <v>21</v>
      </c>
      <c r="H379" s="5" t="s">
        <v>230</v>
      </c>
      <c r="I379" s="5" t="s">
        <v>229</v>
      </c>
      <c r="J379" s="5" t="s">
        <v>121</v>
      </c>
      <c r="K379" s="5" t="s">
        <v>229</v>
      </c>
      <c r="L379" s="5" t="s">
        <v>34</v>
      </c>
      <c r="M379" s="5" t="s">
        <v>229</v>
      </c>
      <c r="N379" s="5" t="s">
        <v>65</v>
      </c>
      <c r="O379" s="5" t="s">
        <v>29</v>
      </c>
      <c r="P379" s="5">
        <v>160</v>
      </c>
      <c r="Q379" s="5">
        <v>20</v>
      </c>
      <c r="R379" s="5" t="s">
        <v>66</v>
      </c>
      <c r="S379" s="5" t="s">
        <v>29</v>
      </c>
      <c r="T379" s="5" t="s">
        <v>155</v>
      </c>
      <c r="U379" s="7" t="s">
        <v>186</v>
      </c>
    </row>
    <row r="380" spans="1:21" x14ac:dyDescent="0.25">
      <c r="A380" s="4">
        <v>1254078</v>
      </c>
      <c r="B380" s="5" t="s">
        <v>77</v>
      </c>
      <c r="C380" s="6">
        <v>44312</v>
      </c>
      <c r="D380" s="5" t="s">
        <v>356</v>
      </c>
      <c r="E380" s="5" t="s">
        <v>166</v>
      </c>
      <c r="F380" s="5" t="s">
        <v>260</v>
      </c>
      <c r="G380" s="5" t="s">
        <v>21</v>
      </c>
      <c r="H380" s="5" t="s">
        <v>166</v>
      </c>
      <c r="I380" s="5" t="s">
        <v>254</v>
      </c>
      <c r="J380" s="5" t="s">
        <v>25</v>
      </c>
      <c r="K380" s="5" t="s">
        <v>25</v>
      </c>
      <c r="L380" s="5" t="s">
        <v>26</v>
      </c>
      <c r="M380" s="5" t="s">
        <v>25</v>
      </c>
      <c r="N380" s="5" t="s">
        <v>38</v>
      </c>
      <c r="O380" s="5">
        <v>5</v>
      </c>
      <c r="P380" s="5">
        <v>124</v>
      </c>
      <c r="Q380" s="5">
        <v>20</v>
      </c>
      <c r="R380" s="5" t="s">
        <v>28</v>
      </c>
      <c r="S380" s="5" t="s">
        <v>29</v>
      </c>
      <c r="T380" s="5" t="s">
        <v>90</v>
      </c>
      <c r="U380" s="7" t="s">
        <v>202</v>
      </c>
    </row>
    <row r="381" spans="1:21" x14ac:dyDescent="0.25">
      <c r="A381" s="4">
        <v>1254079</v>
      </c>
      <c r="B381" s="5" t="s">
        <v>77</v>
      </c>
      <c r="C381" s="6">
        <v>44313</v>
      </c>
      <c r="D381" s="5" t="s">
        <v>356</v>
      </c>
      <c r="E381" s="5" t="s">
        <v>64</v>
      </c>
      <c r="F381" s="5" t="s">
        <v>260</v>
      </c>
      <c r="G381" s="5" t="s">
        <v>21</v>
      </c>
      <c r="H381" s="5" t="s">
        <v>64</v>
      </c>
      <c r="I381" s="5" t="s">
        <v>24</v>
      </c>
      <c r="J381" s="5" t="s">
        <v>229</v>
      </c>
      <c r="K381" s="5" t="s">
        <v>229</v>
      </c>
      <c r="L381" s="5" t="s">
        <v>26</v>
      </c>
      <c r="M381" s="5" t="s">
        <v>24</v>
      </c>
      <c r="N381" s="5" t="s">
        <v>27</v>
      </c>
      <c r="O381" s="5">
        <v>1</v>
      </c>
      <c r="P381" s="5">
        <v>172</v>
      </c>
      <c r="Q381" s="5">
        <v>20</v>
      </c>
      <c r="R381" s="5" t="s">
        <v>28</v>
      </c>
      <c r="S381" s="5" t="s">
        <v>29</v>
      </c>
      <c r="T381" s="5" t="s">
        <v>70</v>
      </c>
      <c r="U381" s="7" t="s">
        <v>173</v>
      </c>
    </row>
    <row r="382" spans="1:21" x14ac:dyDescent="0.25">
      <c r="A382" s="4">
        <v>1254080</v>
      </c>
      <c r="B382" s="5" t="s">
        <v>35</v>
      </c>
      <c r="C382" s="6">
        <v>44314</v>
      </c>
      <c r="D382" s="5" t="s">
        <v>356</v>
      </c>
      <c r="E382" s="5" t="s">
        <v>250</v>
      </c>
      <c r="F382" s="5" t="s">
        <v>261</v>
      </c>
      <c r="G382" s="5" t="s">
        <v>21</v>
      </c>
      <c r="H382" s="5" t="s">
        <v>250</v>
      </c>
      <c r="I382" s="5" t="s">
        <v>121</v>
      </c>
      <c r="J382" s="5" t="s">
        <v>33</v>
      </c>
      <c r="K382" s="5" t="s">
        <v>121</v>
      </c>
      <c r="L382" s="5" t="s">
        <v>34</v>
      </c>
      <c r="M382" s="5" t="s">
        <v>33</v>
      </c>
      <c r="N382" s="5" t="s">
        <v>38</v>
      </c>
      <c r="O382" s="5">
        <v>7</v>
      </c>
      <c r="P382" s="5">
        <v>172</v>
      </c>
      <c r="Q382" s="5">
        <v>20</v>
      </c>
      <c r="R382" s="5" t="s">
        <v>28</v>
      </c>
      <c r="S382" s="5" t="s">
        <v>29</v>
      </c>
      <c r="T382" s="5" t="s">
        <v>118</v>
      </c>
      <c r="U382" s="7" t="s">
        <v>126</v>
      </c>
    </row>
    <row r="383" spans="1:21" x14ac:dyDescent="0.25">
      <c r="A383" s="4">
        <v>1254081</v>
      </c>
      <c r="B383" s="5" t="s">
        <v>35</v>
      </c>
      <c r="C383" s="6">
        <v>44315</v>
      </c>
      <c r="D383" s="5" t="s">
        <v>356</v>
      </c>
      <c r="E383" s="5" t="s">
        <v>177</v>
      </c>
      <c r="F383" s="5" t="s">
        <v>261</v>
      </c>
      <c r="G383" s="5" t="s">
        <v>21</v>
      </c>
      <c r="H383" s="5" t="s">
        <v>177</v>
      </c>
      <c r="I383" s="5" t="s">
        <v>37</v>
      </c>
      <c r="J383" s="5" t="s">
        <v>41</v>
      </c>
      <c r="K383" s="5" t="s">
        <v>41</v>
      </c>
      <c r="L383" s="5" t="s">
        <v>26</v>
      </c>
      <c r="M383" s="5" t="s">
        <v>41</v>
      </c>
      <c r="N383" s="5" t="s">
        <v>38</v>
      </c>
      <c r="O383" s="5">
        <v>7</v>
      </c>
      <c r="P383" s="5">
        <v>172</v>
      </c>
      <c r="Q383" s="5">
        <v>20</v>
      </c>
      <c r="R383" s="5" t="s">
        <v>28</v>
      </c>
      <c r="S383" s="5" t="s">
        <v>29</v>
      </c>
      <c r="T383" s="5" t="s">
        <v>155</v>
      </c>
      <c r="U383" s="7" t="s">
        <v>186</v>
      </c>
    </row>
    <row r="384" spans="1:21" x14ac:dyDescent="0.25">
      <c r="A384" s="4">
        <v>1254082</v>
      </c>
      <c r="B384" s="5" t="s">
        <v>77</v>
      </c>
      <c r="C384" s="6">
        <v>44315</v>
      </c>
      <c r="D384" s="5" t="s">
        <v>356</v>
      </c>
      <c r="E384" s="5" t="s">
        <v>230</v>
      </c>
      <c r="F384" s="5" t="s">
        <v>260</v>
      </c>
      <c r="G384" s="5" t="s">
        <v>21</v>
      </c>
      <c r="H384" s="5" t="s">
        <v>230</v>
      </c>
      <c r="I384" s="5" t="s">
        <v>25</v>
      </c>
      <c r="J384" s="5" t="s">
        <v>229</v>
      </c>
      <c r="K384" s="5" t="s">
        <v>229</v>
      </c>
      <c r="L384" s="5" t="s">
        <v>26</v>
      </c>
      <c r="M384" s="5" t="s">
        <v>229</v>
      </c>
      <c r="N384" s="5" t="s">
        <v>38</v>
      </c>
      <c r="O384" s="5">
        <v>7</v>
      </c>
      <c r="P384" s="5">
        <v>155</v>
      </c>
      <c r="Q384" s="5">
        <v>20</v>
      </c>
      <c r="R384" s="5" t="s">
        <v>28</v>
      </c>
      <c r="S384" s="5" t="s">
        <v>29</v>
      </c>
      <c r="T384" s="5" t="s">
        <v>105</v>
      </c>
      <c r="U384" s="7" t="s">
        <v>202</v>
      </c>
    </row>
    <row r="385" spans="1:21" x14ac:dyDescent="0.25">
      <c r="A385" s="4">
        <v>1254083</v>
      </c>
      <c r="B385" s="5" t="s">
        <v>77</v>
      </c>
      <c r="C385" s="6">
        <v>44316</v>
      </c>
      <c r="D385" s="5" t="s">
        <v>356</v>
      </c>
      <c r="E385" s="5" t="s">
        <v>262</v>
      </c>
      <c r="F385" s="5" t="s">
        <v>260</v>
      </c>
      <c r="G385" s="5" t="s">
        <v>21</v>
      </c>
      <c r="H385" s="5" t="s">
        <v>262</v>
      </c>
      <c r="I385" s="5" t="s">
        <v>254</v>
      </c>
      <c r="J385" s="5" t="s">
        <v>24</v>
      </c>
      <c r="K385" s="5" t="s">
        <v>24</v>
      </c>
      <c r="L385" s="5" t="s">
        <v>26</v>
      </c>
      <c r="M385" s="5" t="s">
        <v>254</v>
      </c>
      <c r="N385" s="5" t="s">
        <v>27</v>
      </c>
      <c r="O385" s="5">
        <v>34</v>
      </c>
      <c r="P385" s="5">
        <v>180</v>
      </c>
      <c r="Q385" s="5">
        <v>20</v>
      </c>
      <c r="R385" s="5" t="s">
        <v>28</v>
      </c>
      <c r="S385" s="5" t="s">
        <v>29</v>
      </c>
      <c r="T385" s="5" t="s">
        <v>70</v>
      </c>
      <c r="U385" s="7" t="s">
        <v>173</v>
      </c>
    </row>
    <row r="386" spans="1:21" x14ac:dyDescent="0.25">
      <c r="A386" s="4">
        <v>1254084</v>
      </c>
      <c r="B386" s="5" t="s">
        <v>35</v>
      </c>
      <c r="C386" s="6">
        <v>44317</v>
      </c>
      <c r="D386" s="5" t="s">
        <v>356</v>
      </c>
      <c r="E386" s="5" t="s">
        <v>86</v>
      </c>
      <c r="F386" s="5" t="s">
        <v>261</v>
      </c>
      <c r="G386" s="5" t="s">
        <v>21</v>
      </c>
      <c r="H386" s="5" t="s">
        <v>86</v>
      </c>
      <c r="I386" s="5" t="s">
        <v>33</v>
      </c>
      <c r="J386" s="5" t="s">
        <v>41</v>
      </c>
      <c r="K386" s="5" t="s">
        <v>41</v>
      </c>
      <c r="L386" s="5" t="s">
        <v>26</v>
      </c>
      <c r="M386" s="5" t="s">
        <v>41</v>
      </c>
      <c r="N386" s="5" t="s">
        <v>38</v>
      </c>
      <c r="O386" s="5">
        <v>4</v>
      </c>
      <c r="P386" s="5">
        <v>219</v>
      </c>
      <c r="Q386" s="5">
        <v>20</v>
      </c>
      <c r="R386" s="5" t="s">
        <v>28</v>
      </c>
      <c r="S386" s="5" t="s">
        <v>29</v>
      </c>
      <c r="T386" s="5" t="s">
        <v>186</v>
      </c>
      <c r="U386" s="7" t="s">
        <v>126</v>
      </c>
    </row>
    <row r="387" spans="1:21" x14ac:dyDescent="0.25">
      <c r="A387" s="4">
        <v>1254085</v>
      </c>
      <c r="B387" s="5" t="s">
        <v>35</v>
      </c>
      <c r="C387" s="6">
        <v>44318</v>
      </c>
      <c r="D387" s="5" t="s">
        <v>356</v>
      </c>
      <c r="E387" s="5" t="s">
        <v>205</v>
      </c>
      <c r="F387" s="5" t="s">
        <v>261</v>
      </c>
      <c r="G387" s="5" t="s">
        <v>21</v>
      </c>
      <c r="H387" s="5" t="s">
        <v>205</v>
      </c>
      <c r="I387" s="5" t="s">
        <v>37</v>
      </c>
      <c r="J387" s="5" t="s">
        <v>121</v>
      </c>
      <c r="K387" s="5" t="s">
        <v>121</v>
      </c>
      <c r="L387" s="5" t="s">
        <v>26</v>
      </c>
      <c r="M387" s="5" t="s">
        <v>37</v>
      </c>
      <c r="N387" s="5" t="s">
        <v>27</v>
      </c>
      <c r="O387" s="5">
        <v>55</v>
      </c>
      <c r="P387" s="5">
        <v>221</v>
      </c>
      <c r="Q387" s="5">
        <v>20</v>
      </c>
      <c r="R387" s="5" t="s">
        <v>28</v>
      </c>
      <c r="S387" s="5" t="s">
        <v>29</v>
      </c>
      <c r="T387" s="5" t="s">
        <v>118</v>
      </c>
      <c r="U387" s="7" t="s">
        <v>155</v>
      </c>
    </row>
    <row r="388" spans="1:21" x14ac:dyDescent="0.25">
      <c r="A388" s="4">
        <v>1254086</v>
      </c>
      <c r="B388" s="5" t="s">
        <v>77</v>
      </c>
      <c r="C388" s="6">
        <v>44318</v>
      </c>
      <c r="D388" s="5" t="s">
        <v>356</v>
      </c>
      <c r="E388" s="5" t="s">
        <v>159</v>
      </c>
      <c r="F388" s="5" t="s">
        <v>260</v>
      </c>
      <c r="G388" s="5" t="s">
        <v>21</v>
      </c>
      <c r="H388" s="5" t="s">
        <v>159</v>
      </c>
      <c r="I388" s="5" t="s">
        <v>254</v>
      </c>
      <c r="J388" s="5" t="s">
        <v>229</v>
      </c>
      <c r="K388" s="5" t="s">
        <v>229</v>
      </c>
      <c r="L388" s="5" t="s">
        <v>26</v>
      </c>
      <c r="M388" s="5" t="s">
        <v>229</v>
      </c>
      <c r="N388" s="5" t="s">
        <v>38</v>
      </c>
      <c r="O388" s="5">
        <v>7</v>
      </c>
      <c r="P388" s="5">
        <v>167</v>
      </c>
      <c r="Q388" s="5">
        <v>20</v>
      </c>
      <c r="R388" s="5" t="s">
        <v>28</v>
      </c>
      <c r="S388" s="5" t="s">
        <v>29</v>
      </c>
      <c r="T388" s="5" t="s">
        <v>105</v>
      </c>
      <c r="U388" s="7" t="s">
        <v>183</v>
      </c>
    </row>
    <row r="389" spans="1:21" x14ac:dyDescent="0.25">
      <c r="A389" s="4">
        <v>1254104</v>
      </c>
      <c r="B389" s="5" t="s">
        <v>263</v>
      </c>
      <c r="C389" s="6">
        <v>44458</v>
      </c>
      <c r="D389" s="5" t="s">
        <v>356</v>
      </c>
      <c r="E389" s="5" t="s">
        <v>250</v>
      </c>
      <c r="F389" s="5" t="s">
        <v>143</v>
      </c>
      <c r="G389" s="5" t="s">
        <v>21</v>
      </c>
      <c r="H389" s="5" t="s">
        <v>250</v>
      </c>
      <c r="I389" s="5" t="s">
        <v>33</v>
      </c>
      <c r="J389" s="5" t="s">
        <v>41</v>
      </c>
      <c r="K389" s="5" t="s">
        <v>33</v>
      </c>
      <c r="L389" s="5" t="s">
        <v>34</v>
      </c>
      <c r="M389" s="5" t="s">
        <v>33</v>
      </c>
      <c r="N389" s="5" t="s">
        <v>27</v>
      </c>
      <c r="O389" s="5">
        <v>20</v>
      </c>
      <c r="P389" s="5">
        <v>157</v>
      </c>
      <c r="Q389" s="5">
        <v>20</v>
      </c>
      <c r="R389" s="5" t="s">
        <v>28</v>
      </c>
      <c r="S389" s="5" t="s">
        <v>29</v>
      </c>
      <c r="T389" s="5" t="s">
        <v>174</v>
      </c>
      <c r="U389" s="7" t="s">
        <v>139</v>
      </c>
    </row>
    <row r="390" spans="1:21" x14ac:dyDescent="0.25">
      <c r="A390" s="4">
        <v>1254087</v>
      </c>
      <c r="B390" s="5" t="s">
        <v>137</v>
      </c>
      <c r="C390" s="6">
        <v>44459</v>
      </c>
      <c r="D390" s="5" t="s">
        <v>356</v>
      </c>
      <c r="E390" s="5" t="s">
        <v>248</v>
      </c>
      <c r="F390" s="5" t="s">
        <v>264</v>
      </c>
      <c r="G390" s="5" t="s">
        <v>21</v>
      </c>
      <c r="H390" s="5" t="s">
        <v>248</v>
      </c>
      <c r="I390" s="5" t="s">
        <v>24</v>
      </c>
      <c r="J390" s="5" t="s">
        <v>25</v>
      </c>
      <c r="K390" s="5" t="s">
        <v>24</v>
      </c>
      <c r="L390" s="5" t="s">
        <v>34</v>
      </c>
      <c r="M390" s="5" t="s">
        <v>25</v>
      </c>
      <c r="N390" s="5" t="s">
        <v>38</v>
      </c>
      <c r="O390" s="5">
        <v>9</v>
      </c>
      <c r="P390" s="5">
        <v>93</v>
      </c>
      <c r="Q390" s="5">
        <v>20</v>
      </c>
      <c r="R390" s="5" t="s">
        <v>28</v>
      </c>
      <c r="S390" s="5" t="s">
        <v>29</v>
      </c>
      <c r="T390" s="5" t="s">
        <v>155</v>
      </c>
      <c r="U390" s="7" t="s">
        <v>70</v>
      </c>
    </row>
    <row r="391" spans="1:21" x14ac:dyDescent="0.25">
      <c r="A391" s="4">
        <v>1254111</v>
      </c>
      <c r="B391" s="5" t="s">
        <v>263</v>
      </c>
      <c r="C391" s="6">
        <v>44460</v>
      </c>
      <c r="D391" s="5" t="s">
        <v>356</v>
      </c>
      <c r="E391" s="5" t="s">
        <v>265</v>
      </c>
      <c r="F391" s="5" t="s">
        <v>143</v>
      </c>
      <c r="G391" s="5" t="s">
        <v>21</v>
      </c>
      <c r="H391" s="5" t="s">
        <v>265</v>
      </c>
      <c r="I391" s="5" t="s">
        <v>37</v>
      </c>
      <c r="J391" s="5" t="s">
        <v>254</v>
      </c>
      <c r="K391" s="5" t="s">
        <v>254</v>
      </c>
      <c r="L391" s="5" t="s">
        <v>26</v>
      </c>
      <c r="M391" s="5" t="s">
        <v>37</v>
      </c>
      <c r="N391" s="5" t="s">
        <v>27</v>
      </c>
      <c r="O391" s="5">
        <v>2</v>
      </c>
      <c r="P391" s="5">
        <v>186</v>
      </c>
      <c r="Q391" s="5">
        <v>20</v>
      </c>
      <c r="R391" s="5" t="s">
        <v>28</v>
      </c>
      <c r="S391" s="5" t="s">
        <v>29</v>
      </c>
      <c r="T391" s="5" t="s">
        <v>105</v>
      </c>
      <c r="U391" s="7" t="s">
        <v>266</v>
      </c>
    </row>
    <row r="392" spans="1:21" x14ac:dyDescent="0.25">
      <c r="A392" s="4">
        <v>1254105</v>
      </c>
      <c r="B392" s="5" t="s">
        <v>263</v>
      </c>
      <c r="C392" s="6">
        <v>44461</v>
      </c>
      <c r="D392" s="5" t="s">
        <v>356</v>
      </c>
      <c r="E392" s="5" t="s">
        <v>247</v>
      </c>
      <c r="F392" s="5" t="s">
        <v>143</v>
      </c>
      <c r="G392" s="5" t="s">
        <v>21</v>
      </c>
      <c r="H392" s="5" t="s">
        <v>247</v>
      </c>
      <c r="I392" s="5" t="s">
        <v>121</v>
      </c>
      <c r="J392" s="5" t="s">
        <v>229</v>
      </c>
      <c r="K392" s="5" t="s">
        <v>121</v>
      </c>
      <c r="L392" s="5" t="s">
        <v>34</v>
      </c>
      <c r="M392" s="5" t="s">
        <v>229</v>
      </c>
      <c r="N392" s="5" t="s">
        <v>38</v>
      </c>
      <c r="O392" s="5">
        <v>8</v>
      </c>
      <c r="P392" s="5">
        <v>135</v>
      </c>
      <c r="Q392" s="5">
        <v>20</v>
      </c>
      <c r="R392" s="5" t="s">
        <v>28</v>
      </c>
      <c r="S392" s="5" t="s">
        <v>29</v>
      </c>
      <c r="T392" s="5" t="s">
        <v>186</v>
      </c>
      <c r="U392" s="7" t="s">
        <v>139</v>
      </c>
    </row>
    <row r="393" spans="1:21" x14ac:dyDescent="0.25">
      <c r="A393" s="4">
        <v>1254096</v>
      </c>
      <c r="B393" s="5" t="s">
        <v>137</v>
      </c>
      <c r="C393" s="6">
        <v>44462</v>
      </c>
      <c r="D393" s="5" t="s">
        <v>356</v>
      </c>
      <c r="E393" s="5" t="s">
        <v>115</v>
      </c>
      <c r="F393" s="5" t="s">
        <v>264</v>
      </c>
      <c r="G393" s="5" t="s">
        <v>21</v>
      </c>
      <c r="H393" s="5" t="s">
        <v>115</v>
      </c>
      <c r="I393" s="5" t="s">
        <v>41</v>
      </c>
      <c r="J393" s="5" t="s">
        <v>25</v>
      </c>
      <c r="K393" s="5" t="s">
        <v>25</v>
      </c>
      <c r="L393" s="5" t="s">
        <v>26</v>
      </c>
      <c r="M393" s="5" t="s">
        <v>25</v>
      </c>
      <c r="N393" s="5" t="s">
        <v>38</v>
      </c>
      <c r="O393" s="5">
        <v>7</v>
      </c>
      <c r="P393" s="5">
        <v>156</v>
      </c>
      <c r="Q393" s="5">
        <v>20</v>
      </c>
      <c r="R393" s="5" t="s">
        <v>28</v>
      </c>
      <c r="S393" s="5" t="s">
        <v>29</v>
      </c>
      <c r="T393" s="5" t="s">
        <v>70</v>
      </c>
      <c r="U393" s="7" t="s">
        <v>173</v>
      </c>
    </row>
    <row r="394" spans="1:21" x14ac:dyDescent="0.25">
      <c r="A394" s="4">
        <v>1254113</v>
      </c>
      <c r="B394" s="5" t="s">
        <v>267</v>
      </c>
      <c r="C394" s="6">
        <v>44463</v>
      </c>
      <c r="D394" s="5" t="s">
        <v>356</v>
      </c>
      <c r="E394" s="5" t="s">
        <v>58</v>
      </c>
      <c r="F394" s="5" t="s">
        <v>141</v>
      </c>
      <c r="G394" s="5" t="s">
        <v>21</v>
      </c>
      <c r="H394" s="5" t="s">
        <v>58</v>
      </c>
      <c r="I394" s="5" t="s">
        <v>24</v>
      </c>
      <c r="J394" s="5" t="s">
        <v>33</v>
      </c>
      <c r="K394" s="5" t="s">
        <v>33</v>
      </c>
      <c r="L394" s="5" t="s">
        <v>26</v>
      </c>
      <c r="M394" s="5" t="s">
        <v>33</v>
      </c>
      <c r="N394" s="5" t="s">
        <v>38</v>
      </c>
      <c r="O394" s="5">
        <v>6</v>
      </c>
      <c r="P394" s="5">
        <v>157</v>
      </c>
      <c r="Q394" s="5">
        <v>20</v>
      </c>
      <c r="R394" s="5" t="s">
        <v>28</v>
      </c>
      <c r="S394" s="5" t="s">
        <v>29</v>
      </c>
      <c r="T394" s="5" t="s">
        <v>105</v>
      </c>
      <c r="U394" s="7" t="s">
        <v>174</v>
      </c>
    </row>
    <row r="395" spans="1:21" x14ac:dyDescent="0.25">
      <c r="A395" s="4">
        <v>1254097</v>
      </c>
      <c r="B395" s="5" t="s">
        <v>137</v>
      </c>
      <c r="C395" s="6">
        <v>44464</v>
      </c>
      <c r="D395" s="5" t="s">
        <v>356</v>
      </c>
      <c r="E395" s="5" t="s">
        <v>161</v>
      </c>
      <c r="F395" s="5" t="s">
        <v>264</v>
      </c>
      <c r="G395" s="5" t="s">
        <v>21</v>
      </c>
      <c r="H395" s="5" t="s">
        <v>161</v>
      </c>
      <c r="I395" s="5" t="s">
        <v>229</v>
      </c>
      <c r="J395" s="5" t="s">
        <v>37</v>
      </c>
      <c r="K395" s="5" t="s">
        <v>37</v>
      </c>
      <c r="L395" s="5" t="s">
        <v>26</v>
      </c>
      <c r="M395" s="5" t="s">
        <v>229</v>
      </c>
      <c r="N395" s="5" t="s">
        <v>27</v>
      </c>
      <c r="O395" s="5">
        <v>33</v>
      </c>
      <c r="P395" s="5">
        <v>155</v>
      </c>
      <c r="Q395" s="5">
        <v>20</v>
      </c>
      <c r="R395" s="5" t="s">
        <v>28</v>
      </c>
      <c r="S395" s="5" t="s">
        <v>29</v>
      </c>
      <c r="T395" s="5" t="s">
        <v>155</v>
      </c>
      <c r="U395" s="7" t="s">
        <v>237</v>
      </c>
    </row>
    <row r="396" spans="1:21" x14ac:dyDescent="0.25">
      <c r="A396" s="4">
        <v>1254107</v>
      </c>
      <c r="B396" s="5" t="s">
        <v>267</v>
      </c>
      <c r="C396" s="6">
        <v>44464</v>
      </c>
      <c r="D396" s="5" t="s">
        <v>356</v>
      </c>
      <c r="E396" s="5" t="s">
        <v>268</v>
      </c>
      <c r="F396" s="5" t="s">
        <v>141</v>
      </c>
      <c r="G396" s="5" t="s">
        <v>21</v>
      </c>
      <c r="H396" s="5" t="s">
        <v>268</v>
      </c>
      <c r="I396" s="5" t="s">
        <v>254</v>
      </c>
      <c r="J396" s="5" t="s">
        <v>121</v>
      </c>
      <c r="K396" s="5" t="s">
        <v>121</v>
      </c>
      <c r="L396" s="5" t="s">
        <v>26</v>
      </c>
      <c r="M396" s="5" t="s">
        <v>254</v>
      </c>
      <c r="N396" s="5" t="s">
        <v>27</v>
      </c>
      <c r="O396" s="5">
        <v>5</v>
      </c>
      <c r="P396" s="5">
        <v>126</v>
      </c>
      <c r="Q396" s="5">
        <v>20</v>
      </c>
      <c r="R396" s="5" t="s">
        <v>28</v>
      </c>
      <c r="S396" s="5" t="s">
        <v>29</v>
      </c>
      <c r="T396" s="5" t="s">
        <v>139</v>
      </c>
      <c r="U396" s="7" t="s">
        <v>202</v>
      </c>
    </row>
    <row r="397" spans="1:21" x14ac:dyDescent="0.25">
      <c r="A397" s="4">
        <v>1254098</v>
      </c>
      <c r="B397" s="5" t="s">
        <v>137</v>
      </c>
      <c r="C397" s="6">
        <v>44465</v>
      </c>
      <c r="D397" s="5" t="s">
        <v>356</v>
      </c>
      <c r="E397" s="5" t="s">
        <v>108</v>
      </c>
      <c r="F397" s="5" t="s">
        <v>264</v>
      </c>
      <c r="G397" s="5" t="s">
        <v>21</v>
      </c>
      <c r="H397" s="5" t="s">
        <v>108</v>
      </c>
      <c r="I397" s="5" t="s">
        <v>25</v>
      </c>
      <c r="J397" s="5" t="s">
        <v>33</v>
      </c>
      <c r="K397" s="5" t="s">
        <v>25</v>
      </c>
      <c r="L397" s="5" t="s">
        <v>34</v>
      </c>
      <c r="M397" s="5" t="s">
        <v>33</v>
      </c>
      <c r="N397" s="5" t="s">
        <v>38</v>
      </c>
      <c r="O397" s="5">
        <v>2</v>
      </c>
      <c r="P397" s="5">
        <v>172</v>
      </c>
      <c r="Q397" s="5">
        <v>20</v>
      </c>
      <c r="R397" s="5" t="s">
        <v>28</v>
      </c>
      <c r="S397" s="5" t="s">
        <v>29</v>
      </c>
      <c r="T397" s="5" t="s">
        <v>155</v>
      </c>
      <c r="U397" s="7" t="s">
        <v>269</v>
      </c>
    </row>
    <row r="398" spans="1:21" x14ac:dyDescent="0.25">
      <c r="A398" s="4">
        <v>1254108</v>
      </c>
      <c r="B398" s="5" t="s">
        <v>263</v>
      </c>
      <c r="C398" s="6">
        <v>44465</v>
      </c>
      <c r="D398" s="5" t="s">
        <v>356</v>
      </c>
      <c r="E398" s="5" t="s">
        <v>142</v>
      </c>
      <c r="F398" s="5" t="s">
        <v>143</v>
      </c>
      <c r="G398" s="5" t="s">
        <v>21</v>
      </c>
      <c r="H398" s="5" t="s">
        <v>142</v>
      </c>
      <c r="I398" s="5" t="s">
        <v>24</v>
      </c>
      <c r="J398" s="5" t="s">
        <v>41</v>
      </c>
      <c r="K398" s="5" t="s">
        <v>41</v>
      </c>
      <c r="L398" s="5" t="s">
        <v>26</v>
      </c>
      <c r="M398" s="5" t="s">
        <v>24</v>
      </c>
      <c r="N398" s="5" t="s">
        <v>27</v>
      </c>
      <c r="O398" s="5">
        <v>54</v>
      </c>
      <c r="P398" s="5">
        <v>166</v>
      </c>
      <c r="Q398" s="5">
        <v>20</v>
      </c>
      <c r="R398" s="5" t="s">
        <v>28</v>
      </c>
      <c r="S398" s="5" t="s">
        <v>29</v>
      </c>
      <c r="T398" s="5" t="s">
        <v>105</v>
      </c>
      <c r="U398" s="7" t="s">
        <v>266</v>
      </c>
    </row>
    <row r="399" spans="1:21" x14ac:dyDescent="0.25">
      <c r="A399" s="4">
        <v>1254100</v>
      </c>
      <c r="B399" s="5" t="s">
        <v>263</v>
      </c>
      <c r="C399" s="6">
        <v>44466</v>
      </c>
      <c r="D399" s="5" t="s">
        <v>356</v>
      </c>
      <c r="E399" s="5" t="s">
        <v>218</v>
      </c>
      <c r="F399" s="5" t="s">
        <v>143</v>
      </c>
      <c r="G399" s="5" t="s">
        <v>21</v>
      </c>
      <c r="H399" s="5" t="s">
        <v>218</v>
      </c>
      <c r="I399" s="5" t="s">
        <v>37</v>
      </c>
      <c r="J399" s="5" t="s">
        <v>121</v>
      </c>
      <c r="K399" s="5" t="s">
        <v>37</v>
      </c>
      <c r="L399" s="5" t="s">
        <v>34</v>
      </c>
      <c r="M399" s="5" t="s">
        <v>121</v>
      </c>
      <c r="N399" s="5" t="s">
        <v>38</v>
      </c>
      <c r="O399" s="5">
        <v>7</v>
      </c>
      <c r="P399" s="5">
        <v>165</v>
      </c>
      <c r="Q399" s="5">
        <v>20</v>
      </c>
      <c r="R399" s="5" t="s">
        <v>28</v>
      </c>
      <c r="S399" s="5" t="s">
        <v>29</v>
      </c>
      <c r="T399" s="5" t="s">
        <v>186</v>
      </c>
      <c r="U399" s="7" t="s">
        <v>259</v>
      </c>
    </row>
    <row r="400" spans="1:21" x14ac:dyDescent="0.25">
      <c r="A400" s="4">
        <v>1254092</v>
      </c>
      <c r="B400" s="5" t="s">
        <v>267</v>
      </c>
      <c r="C400" s="6">
        <v>44467</v>
      </c>
      <c r="D400" s="5" t="s">
        <v>356</v>
      </c>
      <c r="E400" s="5" t="s">
        <v>115</v>
      </c>
      <c r="F400" s="5" t="s">
        <v>141</v>
      </c>
      <c r="G400" s="5" t="s">
        <v>21</v>
      </c>
      <c r="H400" s="5" t="s">
        <v>115</v>
      </c>
      <c r="I400" s="5" t="s">
        <v>229</v>
      </c>
      <c r="J400" s="5" t="s">
        <v>25</v>
      </c>
      <c r="K400" s="5" t="s">
        <v>25</v>
      </c>
      <c r="L400" s="5" t="s">
        <v>26</v>
      </c>
      <c r="M400" s="5" t="s">
        <v>25</v>
      </c>
      <c r="N400" s="5" t="s">
        <v>38</v>
      </c>
      <c r="O400" s="5">
        <v>3</v>
      </c>
      <c r="P400" s="5">
        <v>128</v>
      </c>
      <c r="Q400" s="5">
        <v>20</v>
      </c>
      <c r="R400" s="5" t="s">
        <v>28</v>
      </c>
      <c r="S400" s="5" t="s">
        <v>29</v>
      </c>
      <c r="T400" s="5" t="s">
        <v>174</v>
      </c>
      <c r="U400" s="7" t="s">
        <v>270</v>
      </c>
    </row>
    <row r="401" spans="1:21" x14ac:dyDescent="0.25">
      <c r="A401" s="4">
        <v>1254099</v>
      </c>
      <c r="B401" s="5" t="s">
        <v>137</v>
      </c>
      <c r="C401" s="6">
        <v>44467</v>
      </c>
      <c r="D401" s="5" t="s">
        <v>356</v>
      </c>
      <c r="E401" s="5" t="s">
        <v>86</v>
      </c>
      <c r="F401" s="5" t="s">
        <v>264</v>
      </c>
      <c r="G401" s="5" t="s">
        <v>21</v>
      </c>
      <c r="H401" s="5" t="s">
        <v>86</v>
      </c>
      <c r="I401" s="5" t="s">
        <v>254</v>
      </c>
      <c r="J401" s="5" t="s">
        <v>41</v>
      </c>
      <c r="K401" s="5" t="s">
        <v>41</v>
      </c>
      <c r="L401" s="5" t="s">
        <v>26</v>
      </c>
      <c r="M401" s="5" t="s">
        <v>41</v>
      </c>
      <c r="N401" s="5" t="s">
        <v>38</v>
      </c>
      <c r="O401" s="5">
        <v>6</v>
      </c>
      <c r="P401" s="5">
        <v>136</v>
      </c>
      <c r="Q401" s="5">
        <v>20</v>
      </c>
      <c r="R401" s="5" t="s">
        <v>28</v>
      </c>
      <c r="S401" s="5" t="s">
        <v>29</v>
      </c>
      <c r="T401" s="5" t="s">
        <v>70</v>
      </c>
      <c r="U401" s="7" t="s">
        <v>173</v>
      </c>
    </row>
    <row r="402" spans="1:21" x14ac:dyDescent="0.25">
      <c r="A402" s="4">
        <v>1254103</v>
      </c>
      <c r="B402" s="5" t="s">
        <v>263</v>
      </c>
      <c r="C402" s="6">
        <v>44468</v>
      </c>
      <c r="D402" s="5" t="s">
        <v>356</v>
      </c>
      <c r="E402" s="5" t="s">
        <v>140</v>
      </c>
      <c r="F402" s="5" t="s">
        <v>143</v>
      </c>
      <c r="G402" s="5" t="s">
        <v>21</v>
      </c>
      <c r="H402" s="5" t="s">
        <v>140</v>
      </c>
      <c r="I402" s="5" t="s">
        <v>37</v>
      </c>
      <c r="J402" s="5" t="s">
        <v>24</v>
      </c>
      <c r="K402" s="5" t="s">
        <v>24</v>
      </c>
      <c r="L402" s="5" t="s">
        <v>26</v>
      </c>
      <c r="M402" s="5" t="s">
        <v>24</v>
      </c>
      <c r="N402" s="5" t="s">
        <v>38</v>
      </c>
      <c r="O402" s="5">
        <v>7</v>
      </c>
      <c r="P402" s="5">
        <v>150</v>
      </c>
      <c r="Q402" s="5">
        <v>20</v>
      </c>
      <c r="R402" s="5" t="s">
        <v>28</v>
      </c>
      <c r="S402" s="5" t="s">
        <v>29</v>
      </c>
      <c r="T402" s="5" t="s">
        <v>183</v>
      </c>
      <c r="U402" s="7" t="s">
        <v>186</v>
      </c>
    </row>
    <row r="403" spans="1:21" x14ac:dyDescent="0.25">
      <c r="A403" s="4">
        <v>1254091</v>
      </c>
      <c r="B403" s="5" t="s">
        <v>267</v>
      </c>
      <c r="C403" s="6">
        <v>44469</v>
      </c>
      <c r="D403" s="5" t="s">
        <v>356</v>
      </c>
      <c r="E403" s="5" t="s">
        <v>271</v>
      </c>
      <c r="F403" s="5" t="s">
        <v>141</v>
      </c>
      <c r="G403" s="5" t="s">
        <v>21</v>
      </c>
      <c r="H403" s="5" t="s">
        <v>271</v>
      </c>
      <c r="I403" s="5" t="s">
        <v>121</v>
      </c>
      <c r="J403" s="5" t="s">
        <v>33</v>
      </c>
      <c r="K403" s="5" t="s">
        <v>33</v>
      </c>
      <c r="L403" s="5" t="s">
        <v>26</v>
      </c>
      <c r="M403" s="5" t="s">
        <v>33</v>
      </c>
      <c r="N403" s="5" t="s">
        <v>38</v>
      </c>
      <c r="O403" s="5">
        <v>6</v>
      </c>
      <c r="P403" s="5">
        <v>135</v>
      </c>
      <c r="Q403" s="5">
        <v>20</v>
      </c>
      <c r="R403" s="5" t="s">
        <v>28</v>
      </c>
      <c r="S403" s="5" t="s">
        <v>29</v>
      </c>
      <c r="T403" s="5" t="s">
        <v>174</v>
      </c>
      <c r="U403" s="7" t="s">
        <v>202</v>
      </c>
    </row>
    <row r="404" spans="1:21" x14ac:dyDescent="0.25">
      <c r="A404" s="4">
        <v>1254102</v>
      </c>
      <c r="B404" s="5" t="s">
        <v>263</v>
      </c>
      <c r="C404" s="6">
        <v>44470</v>
      </c>
      <c r="D404" s="5" t="s">
        <v>356</v>
      </c>
      <c r="E404" s="5" t="s">
        <v>213</v>
      </c>
      <c r="F404" s="5" t="s">
        <v>143</v>
      </c>
      <c r="G404" s="5" t="s">
        <v>21</v>
      </c>
      <c r="H404" s="5" t="s">
        <v>213</v>
      </c>
      <c r="I404" s="5" t="s">
        <v>25</v>
      </c>
      <c r="J404" s="5" t="s">
        <v>254</v>
      </c>
      <c r="K404" s="5" t="s">
        <v>254</v>
      </c>
      <c r="L404" s="5" t="s">
        <v>26</v>
      </c>
      <c r="M404" s="5" t="s">
        <v>254</v>
      </c>
      <c r="N404" s="5" t="s">
        <v>38</v>
      </c>
      <c r="O404" s="5">
        <v>5</v>
      </c>
      <c r="P404" s="5">
        <v>166</v>
      </c>
      <c r="Q404" s="5">
        <v>20</v>
      </c>
      <c r="R404" s="5" t="s">
        <v>28</v>
      </c>
      <c r="S404" s="5" t="s">
        <v>29</v>
      </c>
      <c r="T404" s="5" t="s">
        <v>186</v>
      </c>
      <c r="U404" s="7" t="s">
        <v>139</v>
      </c>
    </row>
    <row r="405" spans="1:21" x14ac:dyDescent="0.25">
      <c r="A405" s="4">
        <v>1254089</v>
      </c>
      <c r="B405" s="5" t="s">
        <v>137</v>
      </c>
      <c r="C405" s="6">
        <v>44471</v>
      </c>
      <c r="D405" s="5" t="s">
        <v>356</v>
      </c>
      <c r="E405" s="5" t="s">
        <v>250</v>
      </c>
      <c r="F405" s="5" t="s">
        <v>264</v>
      </c>
      <c r="G405" s="5" t="s">
        <v>21</v>
      </c>
      <c r="H405" s="5" t="s">
        <v>250</v>
      </c>
      <c r="I405" s="5" t="s">
        <v>33</v>
      </c>
      <c r="J405" s="5" t="s">
        <v>37</v>
      </c>
      <c r="K405" s="5" t="s">
        <v>37</v>
      </c>
      <c r="L405" s="5" t="s">
        <v>26</v>
      </c>
      <c r="M405" s="5" t="s">
        <v>37</v>
      </c>
      <c r="N405" s="5" t="s">
        <v>38</v>
      </c>
      <c r="O405" s="5">
        <v>7</v>
      </c>
      <c r="P405" s="5">
        <v>190</v>
      </c>
      <c r="Q405" s="5">
        <v>20</v>
      </c>
      <c r="R405" s="5" t="s">
        <v>28</v>
      </c>
      <c r="S405" s="5" t="s">
        <v>29</v>
      </c>
      <c r="T405" s="5" t="s">
        <v>155</v>
      </c>
      <c r="U405" s="7" t="s">
        <v>173</v>
      </c>
    </row>
    <row r="406" spans="1:21" x14ac:dyDescent="0.25">
      <c r="A406" s="4">
        <v>1254112</v>
      </c>
      <c r="B406" s="5" t="s">
        <v>267</v>
      </c>
      <c r="C406" s="6">
        <v>44471</v>
      </c>
      <c r="D406" s="5" t="s">
        <v>356</v>
      </c>
      <c r="E406" s="5" t="s">
        <v>152</v>
      </c>
      <c r="F406" s="5" t="s">
        <v>141</v>
      </c>
      <c r="G406" s="5" t="s">
        <v>21</v>
      </c>
      <c r="H406" s="5" t="s">
        <v>152</v>
      </c>
      <c r="I406" s="5" t="s">
        <v>41</v>
      </c>
      <c r="J406" s="5" t="s">
        <v>229</v>
      </c>
      <c r="K406" s="5" t="s">
        <v>229</v>
      </c>
      <c r="L406" s="5" t="s">
        <v>26</v>
      </c>
      <c r="M406" s="5" t="s">
        <v>229</v>
      </c>
      <c r="N406" s="5" t="s">
        <v>38</v>
      </c>
      <c r="O406" s="5">
        <v>4</v>
      </c>
      <c r="P406" s="5">
        <v>130</v>
      </c>
      <c r="Q406" s="5">
        <v>20</v>
      </c>
      <c r="R406" s="5" t="s">
        <v>28</v>
      </c>
      <c r="S406" s="5" t="s">
        <v>29</v>
      </c>
      <c r="T406" s="5" t="s">
        <v>105</v>
      </c>
      <c r="U406" s="7" t="s">
        <v>266</v>
      </c>
    </row>
    <row r="407" spans="1:21" x14ac:dyDescent="0.25">
      <c r="A407" s="4">
        <v>1254090</v>
      </c>
      <c r="B407" s="5" t="s">
        <v>267</v>
      </c>
      <c r="C407" s="6">
        <v>44472</v>
      </c>
      <c r="D407" s="5" t="s">
        <v>356</v>
      </c>
      <c r="E407" s="5" t="s">
        <v>142</v>
      </c>
      <c r="F407" s="5" t="s">
        <v>141</v>
      </c>
      <c r="G407" s="5" t="s">
        <v>21</v>
      </c>
      <c r="H407" s="5" t="s">
        <v>142</v>
      </c>
      <c r="I407" s="5" t="s">
        <v>24</v>
      </c>
      <c r="J407" s="5" t="s">
        <v>254</v>
      </c>
      <c r="K407" s="5" t="s">
        <v>24</v>
      </c>
      <c r="L407" s="5" t="s">
        <v>34</v>
      </c>
      <c r="M407" s="5" t="s">
        <v>24</v>
      </c>
      <c r="N407" s="5" t="s">
        <v>27</v>
      </c>
      <c r="O407" s="5">
        <v>6</v>
      </c>
      <c r="P407" s="5">
        <v>165</v>
      </c>
      <c r="Q407" s="5">
        <v>20</v>
      </c>
      <c r="R407" s="5" t="s">
        <v>28</v>
      </c>
      <c r="S407" s="5" t="s">
        <v>29</v>
      </c>
      <c r="T407" s="5" t="s">
        <v>186</v>
      </c>
      <c r="U407" s="7" t="s">
        <v>139</v>
      </c>
    </row>
    <row r="408" spans="1:21" x14ac:dyDescent="0.25">
      <c r="A408" s="4">
        <v>1254109</v>
      </c>
      <c r="B408" s="5" t="s">
        <v>263</v>
      </c>
      <c r="C408" s="6">
        <v>44472</v>
      </c>
      <c r="D408" s="5" t="s">
        <v>356</v>
      </c>
      <c r="E408" s="5" t="s">
        <v>242</v>
      </c>
      <c r="F408" s="5" t="s">
        <v>143</v>
      </c>
      <c r="G408" s="5" t="s">
        <v>21</v>
      </c>
      <c r="H408" s="5" t="s">
        <v>242</v>
      </c>
      <c r="I408" s="5" t="s">
        <v>121</v>
      </c>
      <c r="J408" s="5" t="s">
        <v>25</v>
      </c>
      <c r="K408" s="5" t="s">
        <v>121</v>
      </c>
      <c r="L408" s="5" t="s">
        <v>34</v>
      </c>
      <c r="M408" s="5" t="s">
        <v>25</v>
      </c>
      <c r="N408" s="5" t="s">
        <v>38</v>
      </c>
      <c r="O408" s="5">
        <v>6</v>
      </c>
      <c r="P408" s="5">
        <v>116</v>
      </c>
      <c r="Q408" s="5">
        <v>20</v>
      </c>
      <c r="R408" s="5" t="s">
        <v>28</v>
      </c>
      <c r="S408" s="5" t="s">
        <v>29</v>
      </c>
      <c r="T408" s="5" t="s">
        <v>258</v>
      </c>
      <c r="U408" s="7" t="s">
        <v>266</v>
      </c>
    </row>
    <row r="409" spans="1:21" x14ac:dyDescent="0.25">
      <c r="A409" s="4">
        <v>1254110</v>
      </c>
      <c r="B409" s="5" t="s">
        <v>263</v>
      </c>
      <c r="C409" s="6">
        <v>44473</v>
      </c>
      <c r="D409" s="5" t="s">
        <v>356</v>
      </c>
      <c r="E409" s="5" t="s">
        <v>152</v>
      </c>
      <c r="F409" s="5" t="s">
        <v>143</v>
      </c>
      <c r="G409" s="5" t="s">
        <v>21</v>
      </c>
      <c r="H409" s="5" t="s">
        <v>152</v>
      </c>
      <c r="I409" s="5" t="s">
        <v>33</v>
      </c>
      <c r="J409" s="5" t="s">
        <v>229</v>
      </c>
      <c r="K409" s="5" t="s">
        <v>229</v>
      </c>
      <c r="L409" s="5" t="s">
        <v>26</v>
      </c>
      <c r="M409" s="5" t="s">
        <v>229</v>
      </c>
      <c r="N409" s="5" t="s">
        <v>38</v>
      </c>
      <c r="O409" s="5">
        <v>3</v>
      </c>
      <c r="P409" s="5">
        <v>137</v>
      </c>
      <c r="Q409" s="5">
        <v>20</v>
      </c>
      <c r="R409" s="5" t="s">
        <v>28</v>
      </c>
      <c r="S409" s="5" t="s">
        <v>29</v>
      </c>
      <c r="T409" s="5" t="s">
        <v>105</v>
      </c>
      <c r="U409" s="7" t="s">
        <v>174</v>
      </c>
    </row>
    <row r="410" spans="1:21" x14ac:dyDescent="0.25">
      <c r="A410" s="4">
        <v>1254093</v>
      </c>
      <c r="B410" s="5" t="s">
        <v>267</v>
      </c>
      <c r="C410" s="6">
        <v>44474</v>
      </c>
      <c r="D410" s="5" t="s">
        <v>356</v>
      </c>
      <c r="E410" s="5" t="s">
        <v>165</v>
      </c>
      <c r="F410" s="5" t="s">
        <v>141</v>
      </c>
      <c r="G410" s="5" t="s">
        <v>21</v>
      </c>
      <c r="H410" s="5" t="s">
        <v>165</v>
      </c>
      <c r="I410" s="5" t="s">
        <v>37</v>
      </c>
      <c r="J410" s="5" t="s">
        <v>41</v>
      </c>
      <c r="K410" s="5" t="s">
        <v>41</v>
      </c>
      <c r="L410" s="5" t="s">
        <v>26</v>
      </c>
      <c r="M410" s="5" t="s">
        <v>41</v>
      </c>
      <c r="N410" s="5" t="s">
        <v>38</v>
      </c>
      <c r="O410" s="5">
        <v>8</v>
      </c>
      <c r="P410" s="5">
        <v>91</v>
      </c>
      <c r="Q410" s="5">
        <v>20</v>
      </c>
      <c r="R410" s="5" t="s">
        <v>28</v>
      </c>
      <c r="S410" s="5" t="s">
        <v>29</v>
      </c>
      <c r="T410" s="5" t="s">
        <v>105</v>
      </c>
      <c r="U410" s="7" t="s">
        <v>266</v>
      </c>
    </row>
    <row r="411" spans="1:21" x14ac:dyDescent="0.25">
      <c r="A411" s="4">
        <v>1254095</v>
      </c>
      <c r="B411" s="5" t="s">
        <v>137</v>
      </c>
      <c r="C411" s="6">
        <v>44475</v>
      </c>
      <c r="D411" s="5" t="s">
        <v>356</v>
      </c>
      <c r="E411" s="5" t="s">
        <v>204</v>
      </c>
      <c r="F411" s="5" t="s">
        <v>264</v>
      </c>
      <c r="G411" s="5" t="s">
        <v>21</v>
      </c>
      <c r="H411" s="5" t="s">
        <v>204</v>
      </c>
      <c r="I411" s="5" t="s">
        <v>121</v>
      </c>
      <c r="J411" s="5" t="s">
        <v>24</v>
      </c>
      <c r="K411" s="5" t="s">
        <v>24</v>
      </c>
      <c r="L411" s="5" t="s">
        <v>26</v>
      </c>
      <c r="M411" s="5" t="s">
        <v>121</v>
      </c>
      <c r="N411" s="5" t="s">
        <v>27</v>
      </c>
      <c r="O411" s="5">
        <v>4</v>
      </c>
      <c r="P411" s="5">
        <v>142</v>
      </c>
      <c r="Q411" s="5">
        <v>20</v>
      </c>
      <c r="R411" s="5" t="s">
        <v>28</v>
      </c>
      <c r="S411" s="5" t="s">
        <v>29</v>
      </c>
      <c r="T411" s="5" t="s">
        <v>70</v>
      </c>
      <c r="U411" s="7" t="s">
        <v>237</v>
      </c>
    </row>
    <row r="412" spans="1:21" x14ac:dyDescent="0.25">
      <c r="A412" s="4">
        <v>1254094</v>
      </c>
      <c r="B412" s="5" t="s">
        <v>263</v>
      </c>
      <c r="C412" s="6">
        <v>44476</v>
      </c>
      <c r="D412" s="5" t="s">
        <v>356</v>
      </c>
      <c r="E412" s="5" t="s">
        <v>213</v>
      </c>
      <c r="F412" s="5" t="s">
        <v>143</v>
      </c>
      <c r="G412" s="5" t="s">
        <v>21</v>
      </c>
      <c r="H412" s="5" t="s">
        <v>213</v>
      </c>
      <c r="I412" s="5" t="s">
        <v>33</v>
      </c>
      <c r="J412" s="5" t="s">
        <v>254</v>
      </c>
      <c r="K412" s="5" t="s">
        <v>254</v>
      </c>
      <c r="L412" s="5" t="s">
        <v>26</v>
      </c>
      <c r="M412" s="5" t="s">
        <v>254</v>
      </c>
      <c r="N412" s="5" t="s">
        <v>38</v>
      </c>
      <c r="O412" s="5">
        <v>6</v>
      </c>
      <c r="P412" s="5">
        <v>135</v>
      </c>
      <c r="Q412" s="5">
        <v>20</v>
      </c>
      <c r="R412" s="5" t="s">
        <v>28</v>
      </c>
      <c r="S412" s="5" t="s">
        <v>29</v>
      </c>
      <c r="T412" s="5" t="s">
        <v>158</v>
      </c>
      <c r="U412" s="7" t="s">
        <v>139</v>
      </c>
    </row>
    <row r="413" spans="1:21" x14ac:dyDescent="0.25">
      <c r="A413" s="4">
        <v>1254106</v>
      </c>
      <c r="B413" s="5" t="s">
        <v>267</v>
      </c>
      <c r="C413" s="6">
        <v>44476</v>
      </c>
      <c r="D413" s="5" t="s">
        <v>356</v>
      </c>
      <c r="E413" s="5" t="s">
        <v>244</v>
      </c>
      <c r="F413" s="5" t="s">
        <v>141</v>
      </c>
      <c r="G413" s="5" t="s">
        <v>21</v>
      </c>
      <c r="H413" s="5" t="s">
        <v>244</v>
      </c>
      <c r="I413" s="5" t="s">
        <v>25</v>
      </c>
      <c r="J413" s="5" t="s">
        <v>37</v>
      </c>
      <c r="K413" s="5" t="s">
        <v>37</v>
      </c>
      <c r="L413" s="5" t="s">
        <v>26</v>
      </c>
      <c r="M413" s="5" t="s">
        <v>25</v>
      </c>
      <c r="N413" s="5" t="s">
        <v>27</v>
      </c>
      <c r="O413" s="5">
        <v>86</v>
      </c>
      <c r="P413" s="5">
        <v>172</v>
      </c>
      <c r="Q413" s="5">
        <v>20</v>
      </c>
      <c r="R413" s="5" t="s">
        <v>28</v>
      </c>
      <c r="S413" s="5" t="s">
        <v>29</v>
      </c>
      <c r="T413" s="5" t="s">
        <v>266</v>
      </c>
      <c r="U413" s="7" t="s">
        <v>270</v>
      </c>
    </row>
    <row r="414" spans="1:21" x14ac:dyDescent="0.25">
      <c r="A414" s="4">
        <v>1254088</v>
      </c>
      <c r="B414" s="5" t="s">
        <v>137</v>
      </c>
      <c r="C414" s="6">
        <v>44477</v>
      </c>
      <c r="D414" s="5" t="s">
        <v>356</v>
      </c>
      <c r="E414" s="5" t="s">
        <v>225</v>
      </c>
      <c r="F414" s="5" t="s">
        <v>264</v>
      </c>
      <c r="G414" s="5" t="s">
        <v>21</v>
      </c>
      <c r="H414" s="5" t="s">
        <v>225</v>
      </c>
      <c r="I414" s="5" t="s">
        <v>41</v>
      </c>
      <c r="J414" s="5" t="s">
        <v>121</v>
      </c>
      <c r="K414" s="5" t="s">
        <v>41</v>
      </c>
      <c r="L414" s="5" t="s">
        <v>34</v>
      </c>
      <c r="M414" s="5" t="s">
        <v>41</v>
      </c>
      <c r="N414" s="5" t="s">
        <v>27</v>
      </c>
      <c r="O414" s="5">
        <v>42</v>
      </c>
      <c r="P414" s="5">
        <v>236</v>
      </c>
      <c r="Q414" s="5">
        <v>20</v>
      </c>
      <c r="R414" s="5" t="s">
        <v>28</v>
      </c>
      <c r="S414" s="5" t="s">
        <v>29</v>
      </c>
      <c r="T414" s="5" t="s">
        <v>269</v>
      </c>
      <c r="U414" s="7" t="s">
        <v>173</v>
      </c>
    </row>
    <row r="415" spans="1:21" x14ac:dyDescent="0.25">
      <c r="A415" s="4">
        <v>1254101</v>
      </c>
      <c r="B415" s="5" t="s">
        <v>263</v>
      </c>
      <c r="C415" s="6">
        <v>44477</v>
      </c>
      <c r="D415" s="5" t="s">
        <v>356</v>
      </c>
      <c r="E415" s="5" t="s">
        <v>272</v>
      </c>
      <c r="F415" s="5" t="s">
        <v>143</v>
      </c>
      <c r="G415" s="5" t="s">
        <v>21</v>
      </c>
      <c r="H415" s="5" t="s">
        <v>272</v>
      </c>
      <c r="I415" s="5" t="s">
        <v>229</v>
      </c>
      <c r="J415" s="5" t="s">
        <v>24</v>
      </c>
      <c r="K415" s="5" t="s">
        <v>24</v>
      </c>
      <c r="L415" s="5" t="s">
        <v>26</v>
      </c>
      <c r="M415" s="5" t="s">
        <v>24</v>
      </c>
      <c r="N415" s="5" t="s">
        <v>38</v>
      </c>
      <c r="O415" s="5">
        <v>7</v>
      </c>
      <c r="P415" s="5">
        <v>165</v>
      </c>
      <c r="Q415" s="5">
        <v>20</v>
      </c>
      <c r="R415" s="5" t="s">
        <v>28</v>
      </c>
      <c r="S415" s="5" t="s">
        <v>29</v>
      </c>
      <c r="T415" s="5" t="s">
        <v>186</v>
      </c>
      <c r="U415" s="7" t="s">
        <v>174</v>
      </c>
    </row>
    <row r="416" spans="1:21" x14ac:dyDescent="0.25">
      <c r="A416" s="4">
        <v>1254114</v>
      </c>
      <c r="B416" s="5" t="s">
        <v>263</v>
      </c>
      <c r="C416" s="6">
        <v>44479</v>
      </c>
      <c r="D416" s="5" t="s">
        <v>356</v>
      </c>
      <c r="E416" s="5" t="s">
        <v>250</v>
      </c>
      <c r="F416" s="5" t="s">
        <v>143</v>
      </c>
      <c r="G416" s="5" t="s">
        <v>100</v>
      </c>
      <c r="H416" s="5" t="s">
        <v>250</v>
      </c>
      <c r="I416" s="5" t="s">
        <v>229</v>
      </c>
      <c r="J416" s="5" t="s">
        <v>33</v>
      </c>
      <c r="K416" s="5" t="s">
        <v>33</v>
      </c>
      <c r="L416" s="5" t="s">
        <v>26</v>
      </c>
      <c r="M416" s="5" t="s">
        <v>33</v>
      </c>
      <c r="N416" s="5" t="s">
        <v>38</v>
      </c>
      <c r="O416" s="5">
        <v>4</v>
      </c>
      <c r="P416" s="5">
        <v>173</v>
      </c>
      <c r="Q416" s="5">
        <v>20</v>
      </c>
      <c r="R416" s="5" t="s">
        <v>28</v>
      </c>
      <c r="S416" s="5" t="s">
        <v>29</v>
      </c>
      <c r="T416" s="5" t="s">
        <v>174</v>
      </c>
      <c r="U416" s="7" t="s">
        <v>139</v>
      </c>
    </row>
    <row r="417" spans="1:21" x14ac:dyDescent="0.25">
      <c r="A417" s="4">
        <v>1254115</v>
      </c>
      <c r="B417" s="5" t="s">
        <v>267</v>
      </c>
      <c r="C417" s="6">
        <v>44480</v>
      </c>
      <c r="D417" s="5" t="s">
        <v>356</v>
      </c>
      <c r="E417" s="5" t="s">
        <v>115</v>
      </c>
      <c r="F417" s="5" t="s">
        <v>141</v>
      </c>
      <c r="G417" s="5" t="s">
        <v>136</v>
      </c>
      <c r="H417" s="5" t="s">
        <v>115</v>
      </c>
      <c r="I417" s="5" t="s">
        <v>24</v>
      </c>
      <c r="J417" s="5" t="s">
        <v>25</v>
      </c>
      <c r="K417" s="5" t="s">
        <v>24</v>
      </c>
      <c r="L417" s="5" t="s">
        <v>34</v>
      </c>
      <c r="M417" s="5" t="s">
        <v>25</v>
      </c>
      <c r="N417" s="5" t="s">
        <v>38</v>
      </c>
      <c r="O417" s="5">
        <v>4</v>
      </c>
      <c r="P417" s="5">
        <v>139</v>
      </c>
      <c r="Q417" s="5">
        <v>20</v>
      </c>
      <c r="R417" s="5" t="s">
        <v>28</v>
      </c>
      <c r="S417" s="5" t="s">
        <v>29</v>
      </c>
      <c r="T417" s="5" t="s">
        <v>155</v>
      </c>
      <c r="U417" s="7" t="s">
        <v>173</v>
      </c>
    </row>
    <row r="418" spans="1:21" x14ac:dyDescent="0.25">
      <c r="A418" s="4">
        <v>1254116</v>
      </c>
      <c r="B418" s="5" t="s">
        <v>267</v>
      </c>
      <c r="C418" s="6">
        <v>44482</v>
      </c>
      <c r="D418" s="5" t="s">
        <v>356</v>
      </c>
      <c r="E418" s="5" t="s">
        <v>273</v>
      </c>
      <c r="F418" s="5" t="s">
        <v>141</v>
      </c>
      <c r="G418" s="5" t="s">
        <v>102</v>
      </c>
      <c r="H418" s="5" t="s">
        <v>273</v>
      </c>
      <c r="I418" s="5" t="s">
        <v>229</v>
      </c>
      <c r="J418" s="5" t="s">
        <v>25</v>
      </c>
      <c r="K418" s="5" t="s">
        <v>25</v>
      </c>
      <c r="L418" s="5" t="s">
        <v>26</v>
      </c>
      <c r="M418" s="5" t="s">
        <v>25</v>
      </c>
      <c r="N418" s="5" t="s">
        <v>38</v>
      </c>
      <c r="O418" s="5">
        <v>3</v>
      </c>
      <c r="P418" s="5">
        <v>136</v>
      </c>
      <c r="Q418" s="5">
        <v>20</v>
      </c>
      <c r="R418" s="5" t="s">
        <v>28</v>
      </c>
      <c r="S418" s="5" t="s">
        <v>29</v>
      </c>
      <c r="T418" s="5" t="s">
        <v>186</v>
      </c>
      <c r="U418" s="7" t="s">
        <v>266</v>
      </c>
    </row>
    <row r="419" spans="1:21" x14ac:dyDescent="0.25">
      <c r="A419" s="4">
        <v>1254117</v>
      </c>
      <c r="B419" s="5" t="s">
        <v>263</v>
      </c>
      <c r="C419" s="6">
        <v>44484</v>
      </c>
      <c r="D419" s="5" t="s">
        <v>356</v>
      </c>
      <c r="E419" s="5" t="s">
        <v>114</v>
      </c>
      <c r="F419" s="5" t="s">
        <v>143</v>
      </c>
      <c r="G419" s="5" t="s">
        <v>61</v>
      </c>
      <c r="H419" s="5" t="s">
        <v>114</v>
      </c>
      <c r="I419" s="5" t="s">
        <v>33</v>
      </c>
      <c r="J419" s="5" t="s">
        <v>25</v>
      </c>
      <c r="K419" s="5" t="s">
        <v>25</v>
      </c>
      <c r="L419" s="5" t="s">
        <v>26</v>
      </c>
      <c r="M419" s="5" t="s">
        <v>33</v>
      </c>
      <c r="N419" s="5" t="s">
        <v>27</v>
      </c>
      <c r="O419" s="5">
        <v>27</v>
      </c>
      <c r="P419" s="5">
        <v>193</v>
      </c>
      <c r="Q419" s="5">
        <v>20</v>
      </c>
      <c r="R419" s="5" t="s">
        <v>28</v>
      </c>
      <c r="S419" s="5" t="s">
        <v>29</v>
      </c>
      <c r="T419" s="5" t="s">
        <v>174</v>
      </c>
      <c r="U419" s="7" t="s">
        <v>139</v>
      </c>
    </row>
    <row r="420" spans="1:21" x14ac:dyDescent="0.25">
      <c r="A420" s="4">
        <v>1304047</v>
      </c>
      <c r="B420" s="5" t="s">
        <v>39</v>
      </c>
      <c r="C420" s="6">
        <v>44646</v>
      </c>
      <c r="D420" s="5" t="s">
        <v>357</v>
      </c>
      <c r="E420" s="5" t="s">
        <v>120</v>
      </c>
      <c r="F420" s="5" t="s">
        <v>253</v>
      </c>
      <c r="G420" s="5" t="s">
        <v>21</v>
      </c>
      <c r="H420" s="5" t="s">
        <v>120</v>
      </c>
      <c r="I420" s="5" t="s">
        <v>33</v>
      </c>
      <c r="J420" s="5" t="s">
        <v>25</v>
      </c>
      <c r="K420" s="5" t="s">
        <v>25</v>
      </c>
      <c r="L420" s="5" t="s">
        <v>26</v>
      </c>
      <c r="M420" s="5" t="s">
        <v>25</v>
      </c>
      <c r="N420" s="5" t="s">
        <v>38</v>
      </c>
      <c r="O420" s="5">
        <v>6</v>
      </c>
      <c r="P420" s="5">
        <v>132</v>
      </c>
      <c r="Q420" s="5">
        <v>20</v>
      </c>
      <c r="R420" s="5" t="s">
        <v>28</v>
      </c>
      <c r="S420" s="5" t="s">
        <v>29</v>
      </c>
      <c r="T420" s="5" t="s">
        <v>105</v>
      </c>
      <c r="U420" s="7" t="s">
        <v>174</v>
      </c>
    </row>
    <row r="421" spans="1:21" x14ac:dyDescent="0.25">
      <c r="A421" s="4">
        <v>1304048</v>
      </c>
      <c r="B421" s="5" t="s">
        <v>39</v>
      </c>
      <c r="C421" s="6">
        <v>44647</v>
      </c>
      <c r="D421" s="5" t="s">
        <v>357</v>
      </c>
      <c r="E421" s="5" t="s">
        <v>226</v>
      </c>
      <c r="F421" s="5" t="s">
        <v>80</v>
      </c>
      <c r="G421" s="5" t="s">
        <v>21</v>
      </c>
      <c r="H421" s="5" t="s">
        <v>226</v>
      </c>
      <c r="I421" s="5" t="s">
        <v>41</v>
      </c>
      <c r="J421" s="5" t="s">
        <v>229</v>
      </c>
      <c r="K421" s="5" t="s">
        <v>229</v>
      </c>
      <c r="L421" s="5" t="s">
        <v>26</v>
      </c>
      <c r="M421" s="5" t="s">
        <v>229</v>
      </c>
      <c r="N421" s="5" t="s">
        <v>38</v>
      </c>
      <c r="O421" s="5">
        <v>4</v>
      </c>
      <c r="P421" s="5">
        <v>178</v>
      </c>
      <c r="Q421" s="5">
        <v>20</v>
      </c>
      <c r="R421" s="5" t="s">
        <v>28</v>
      </c>
      <c r="S421" s="5" t="s">
        <v>29</v>
      </c>
      <c r="T421" s="5" t="s">
        <v>91</v>
      </c>
      <c r="U421" s="7" t="s">
        <v>270</v>
      </c>
    </row>
    <row r="422" spans="1:21" x14ac:dyDescent="0.25">
      <c r="A422" s="4">
        <v>1304049</v>
      </c>
      <c r="B422" s="5" t="s">
        <v>39</v>
      </c>
      <c r="C422" s="6">
        <v>44647</v>
      </c>
      <c r="D422" s="5" t="s">
        <v>357</v>
      </c>
      <c r="E422" s="5" t="s">
        <v>274</v>
      </c>
      <c r="F422" s="5" t="s">
        <v>275</v>
      </c>
      <c r="G422" s="5" t="s">
        <v>21</v>
      </c>
      <c r="H422" s="5" t="s">
        <v>274</v>
      </c>
      <c r="I422" s="5" t="s">
        <v>24</v>
      </c>
      <c r="J422" s="5" t="s">
        <v>254</v>
      </c>
      <c r="K422" s="5" t="s">
        <v>254</v>
      </c>
      <c r="L422" s="5" t="s">
        <v>26</v>
      </c>
      <c r="M422" s="5" t="s">
        <v>254</v>
      </c>
      <c r="N422" s="5" t="s">
        <v>38</v>
      </c>
      <c r="O422" s="5">
        <v>5</v>
      </c>
      <c r="P422" s="5">
        <v>206</v>
      </c>
      <c r="Q422" s="5">
        <v>20</v>
      </c>
      <c r="R422" s="5" t="s">
        <v>28</v>
      </c>
      <c r="S422" s="5" t="s">
        <v>29</v>
      </c>
      <c r="T422" s="5" t="s">
        <v>174</v>
      </c>
      <c r="U422" s="7" t="s">
        <v>202</v>
      </c>
    </row>
    <row r="423" spans="1:21" x14ac:dyDescent="0.25">
      <c r="A423" s="4">
        <v>1304050</v>
      </c>
      <c r="B423" s="5" t="s">
        <v>39</v>
      </c>
      <c r="C423" s="6">
        <v>44648</v>
      </c>
      <c r="D423" s="5" t="s">
        <v>357</v>
      </c>
      <c r="E423" s="5" t="s">
        <v>207</v>
      </c>
      <c r="F423" s="5" t="s">
        <v>253</v>
      </c>
      <c r="G423" s="5" t="s">
        <v>21</v>
      </c>
      <c r="H423" s="5" t="s">
        <v>207</v>
      </c>
      <c r="I423" s="5" t="s">
        <v>276</v>
      </c>
      <c r="J423" s="5" t="s">
        <v>277</v>
      </c>
      <c r="K423" s="5" t="s">
        <v>277</v>
      </c>
      <c r="L423" s="5" t="s">
        <v>26</v>
      </c>
      <c r="M423" s="5" t="s">
        <v>277</v>
      </c>
      <c r="N423" s="5" t="s">
        <v>38</v>
      </c>
      <c r="O423" s="5">
        <v>5</v>
      </c>
      <c r="P423" s="5">
        <v>159</v>
      </c>
      <c r="Q423" s="5">
        <v>20</v>
      </c>
      <c r="R423" s="5" t="s">
        <v>28</v>
      </c>
      <c r="S423" s="5" t="s">
        <v>29</v>
      </c>
      <c r="T423" s="5" t="s">
        <v>151</v>
      </c>
      <c r="U423" s="7" t="s">
        <v>173</v>
      </c>
    </row>
    <row r="424" spans="1:21" x14ac:dyDescent="0.25">
      <c r="A424" s="4">
        <v>1304051</v>
      </c>
      <c r="B424" s="5" t="s">
        <v>111</v>
      </c>
      <c r="C424" s="6">
        <v>44649</v>
      </c>
      <c r="D424" s="5" t="s">
        <v>357</v>
      </c>
      <c r="E424" s="5" t="s">
        <v>131</v>
      </c>
      <c r="F424" s="5" t="s">
        <v>278</v>
      </c>
      <c r="G424" s="5" t="s">
        <v>21</v>
      </c>
      <c r="H424" s="5" t="s">
        <v>131</v>
      </c>
      <c r="I424" s="5" t="s">
        <v>37</v>
      </c>
      <c r="J424" s="5" t="s">
        <v>121</v>
      </c>
      <c r="K424" s="5" t="s">
        <v>121</v>
      </c>
      <c r="L424" s="5" t="s">
        <v>26</v>
      </c>
      <c r="M424" s="5" t="s">
        <v>37</v>
      </c>
      <c r="N424" s="5" t="s">
        <v>27</v>
      </c>
      <c r="O424" s="5">
        <v>61</v>
      </c>
      <c r="P424" s="5">
        <v>211</v>
      </c>
      <c r="Q424" s="5">
        <v>20</v>
      </c>
      <c r="R424" s="5" t="s">
        <v>28</v>
      </c>
      <c r="S424" s="5" t="s">
        <v>29</v>
      </c>
      <c r="T424" s="5" t="s">
        <v>113</v>
      </c>
      <c r="U424" s="7" t="s">
        <v>237</v>
      </c>
    </row>
    <row r="425" spans="1:21" x14ac:dyDescent="0.25">
      <c r="A425" s="4">
        <v>1304052</v>
      </c>
      <c r="B425" s="5" t="s">
        <v>39</v>
      </c>
      <c r="C425" s="6">
        <v>44650</v>
      </c>
      <c r="D425" s="5" t="s">
        <v>357</v>
      </c>
      <c r="E425" s="5" t="s">
        <v>279</v>
      </c>
      <c r="F425" s="5" t="s">
        <v>275</v>
      </c>
      <c r="G425" s="5" t="s">
        <v>21</v>
      </c>
      <c r="H425" s="5" t="s">
        <v>279</v>
      </c>
      <c r="I425" s="5" t="s">
        <v>25</v>
      </c>
      <c r="J425" s="5" t="s">
        <v>24</v>
      </c>
      <c r="K425" s="5" t="s">
        <v>24</v>
      </c>
      <c r="L425" s="5" t="s">
        <v>26</v>
      </c>
      <c r="M425" s="5" t="s">
        <v>24</v>
      </c>
      <c r="N425" s="5" t="s">
        <v>38</v>
      </c>
      <c r="O425" s="5">
        <v>3</v>
      </c>
      <c r="P425" s="5">
        <v>129</v>
      </c>
      <c r="Q425" s="5">
        <v>20</v>
      </c>
      <c r="R425" s="5" t="s">
        <v>28</v>
      </c>
      <c r="S425" s="5" t="s">
        <v>29</v>
      </c>
      <c r="T425" s="5" t="s">
        <v>258</v>
      </c>
      <c r="U425" s="7" t="s">
        <v>259</v>
      </c>
    </row>
    <row r="426" spans="1:21" x14ac:dyDescent="0.25">
      <c r="A426" s="4">
        <v>1304053</v>
      </c>
      <c r="B426" s="5" t="s">
        <v>39</v>
      </c>
      <c r="C426" s="6">
        <v>44651</v>
      </c>
      <c r="D426" s="5" t="s">
        <v>357</v>
      </c>
      <c r="E426" s="5" t="s">
        <v>280</v>
      </c>
      <c r="F426" s="5" t="s">
        <v>80</v>
      </c>
      <c r="G426" s="5" t="s">
        <v>21</v>
      </c>
      <c r="H426" s="5" t="s">
        <v>280</v>
      </c>
      <c r="I426" s="5" t="s">
        <v>33</v>
      </c>
      <c r="J426" s="5" t="s">
        <v>276</v>
      </c>
      <c r="K426" s="5" t="s">
        <v>276</v>
      </c>
      <c r="L426" s="5" t="s">
        <v>26</v>
      </c>
      <c r="M426" s="5" t="s">
        <v>276</v>
      </c>
      <c r="N426" s="5" t="s">
        <v>38</v>
      </c>
      <c r="O426" s="5">
        <v>6</v>
      </c>
      <c r="P426" s="5">
        <v>211</v>
      </c>
      <c r="Q426" s="5">
        <v>20</v>
      </c>
      <c r="R426" s="5" t="s">
        <v>28</v>
      </c>
      <c r="S426" s="5" t="s">
        <v>29</v>
      </c>
      <c r="T426" s="5" t="s">
        <v>91</v>
      </c>
      <c r="U426" s="7" t="s">
        <v>173</v>
      </c>
    </row>
    <row r="427" spans="1:21" x14ac:dyDescent="0.25">
      <c r="A427" s="4">
        <v>1304054</v>
      </c>
      <c r="B427" s="5" t="s">
        <v>39</v>
      </c>
      <c r="C427" s="6">
        <v>44652</v>
      </c>
      <c r="D427" s="5" t="s">
        <v>357</v>
      </c>
      <c r="E427" s="5" t="s">
        <v>120</v>
      </c>
      <c r="F427" s="5" t="s">
        <v>253</v>
      </c>
      <c r="G427" s="5" t="s">
        <v>21</v>
      </c>
      <c r="H427" s="5" t="s">
        <v>120</v>
      </c>
      <c r="I427" s="5" t="s">
        <v>254</v>
      </c>
      <c r="J427" s="5" t="s">
        <v>25</v>
      </c>
      <c r="K427" s="5" t="s">
        <v>25</v>
      </c>
      <c r="L427" s="5" t="s">
        <v>26</v>
      </c>
      <c r="M427" s="5" t="s">
        <v>25</v>
      </c>
      <c r="N427" s="5" t="s">
        <v>38</v>
      </c>
      <c r="O427" s="5">
        <v>6</v>
      </c>
      <c r="P427" s="5">
        <v>138</v>
      </c>
      <c r="Q427" s="5">
        <v>20</v>
      </c>
      <c r="R427" s="5" t="s">
        <v>28</v>
      </c>
      <c r="S427" s="5" t="s">
        <v>29</v>
      </c>
      <c r="T427" s="5" t="s">
        <v>105</v>
      </c>
      <c r="U427" s="7" t="s">
        <v>270</v>
      </c>
    </row>
    <row r="428" spans="1:21" x14ac:dyDescent="0.25">
      <c r="A428" s="4">
        <v>1304055</v>
      </c>
      <c r="B428" s="5" t="s">
        <v>39</v>
      </c>
      <c r="C428" s="6">
        <v>44653</v>
      </c>
      <c r="D428" s="5" t="s">
        <v>357</v>
      </c>
      <c r="E428" s="5" t="s">
        <v>205</v>
      </c>
      <c r="F428" s="5" t="s">
        <v>275</v>
      </c>
      <c r="G428" s="5" t="s">
        <v>21</v>
      </c>
      <c r="H428" s="5" t="s">
        <v>205</v>
      </c>
      <c r="I428" s="5" t="s">
        <v>37</v>
      </c>
      <c r="J428" s="5" t="s">
        <v>41</v>
      </c>
      <c r="K428" s="5" t="s">
        <v>41</v>
      </c>
      <c r="L428" s="5" t="s">
        <v>26</v>
      </c>
      <c r="M428" s="5" t="s">
        <v>37</v>
      </c>
      <c r="N428" s="5" t="s">
        <v>27</v>
      </c>
      <c r="O428" s="5">
        <v>23</v>
      </c>
      <c r="P428" s="5">
        <v>194</v>
      </c>
      <c r="Q428" s="5">
        <v>20</v>
      </c>
      <c r="R428" s="5" t="s">
        <v>28</v>
      </c>
      <c r="S428" s="5" t="s">
        <v>29</v>
      </c>
      <c r="T428" s="5" t="s">
        <v>174</v>
      </c>
      <c r="U428" s="7" t="s">
        <v>151</v>
      </c>
    </row>
    <row r="429" spans="1:21" x14ac:dyDescent="0.25">
      <c r="A429" s="4">
        <v>1304056</v>
      </c>
      <c r="B429" s="5" t="s">
        <v>111</v>
      </c>
      <c r="C429" s="6">
        <v>44653</v>
      </c>
      <c r="D429" s="5" t="s">
        <v>357</v>
      </c>
      <c r="E429" s="5" t="s">
        <v>206</v>
      </c>
      <c r="F429" s="5" t="s">
        <v>278</v>
      </c>
      <c r="G429" s="5" t="s">
        <v>21</v>
      </c>
      <c r="H429" s="5" t="s">
        <v>206</v>
      </c>
      <c r="I429" s="5" t="s">
        <v>277</v>
      </c>
      <c r="J429" s="5" t="s">
        <v>229</v>
      </c>
      <c r="K429" s="5" t="s">
        <v>229</v>
      </c>
      <c r="L429" s="5" t="s">
        <v>26</v>
      </c>
      <c r="M429" s="5" t="s">
        <v>277</v>
      </c>
      <c r="N429" s="5" t="s">
        <v>27</v>
      </c>
      <c r="O429" s="5">
        <v>14</v>
      </c>
      <c r="P429" s="5">
        <v>172</v>
      </c>
      <c r="Q429" s="5">
        <v>20</v>
      </c>
      <c r="R429" s="5" t="s">
        <v>28</v>
      </c>
      <c r="S429" s="5" t="s">
        <v>29</v>
      </c>
      <c r="T429" s="5" t="s">
        <v>186</v>
      </c>
      <c r="U429" s="7" t="s">
        <v>237</v>
      </c>
    </row>
    <row r="430" spans="1:21" x14ac:dyDescent="0.25">
      <c r="A430" s="4">
        <v>1304057</v>
      </c>
      <c r="B430" s="5" t="s">
        <v>39</v>
      </c>
      <c r="C430" s="6">
        <v>44654</v>
      </c>
      <c r="D430" s="5" t="s">
        <v>357</v>
      </c>
      <c r="E430" s="5" t="s">
        <v>281</v>
      </c>
      <c r="F430" s="5" t="s">
        <v>80</v>
      </c>
      <c r="G430" s="5" t="s">
        <v>21</v>
      </c>
      <c r="H430" s="5" t="s">
        <v>281</v>
      </c>
      <c r="I430" s="5" t="s">
        <v>254</v>
      </c>
      <c r="J430" s="5" t="s">
        <v>33</v>
      </c>
      <c r="K430" s="5" t="s">
        <v>33</v>
      </c>
      <c r="L430" s="5" t="s">
        <v>26</v>
      </c>
      <c r="M430" s="5" t="s">
        <v>254</v>
      </c>
      <c r="N430" s="5" t="s">
        <v>27</v>
      </c>
      <c r="O430" s="5">
        <v>54</v>
      </c>
      <c r="P430" s="5">
        <v>181</v>
      </c>
      <c r="Q430" s="5">
        <v>20</v>
      </c>
      <c r="R430" s="5" t="s">
        <v>28</v>
      </c>
      <c r="S430" s="5" t="s">
        <v>29</v>
      </c>
      <c r="T430" s="5" t="s">
        <v>91</v>
      </c>
      <c r="U430" s="7" t="s">
        <v>202</v>
      </c>
    </row>
    <row r="431" spans="1:21" x14ac:dyDescent="0.25">
      <c r="A431" s="4">
        <v>1304058</v>
      </c>
      <c r="B431" s="5" t="s">
        <v>39</v>
      </c>
      <c r="C431" s="6">
        <v>44655</v>
      </c>
      <c r="D431" s="5" t="s">
        <v>357</v>
      </c>
      <c r="E431" s="5" t="s">
        <v>282</v>
      </c>
      <c r="F431" s="5" t="s">
        <v>275</v>
      </c>
      <c r="G431" s="5" t="s">
        <v>21</v>
      </c>
      <c r="H431" s="5" t="s">
        <v>282</v>
      </c>
      <c r="I431" s="5" t="s">
        <v>276</v>
      </c>
      <c r="J431" s="5" t="s">
        <v>121</v>
      </c>
      <c r="K431" s="5" t="s">
        <v>121</v>
      </c>
      <c r="L431" s="5" t="s">
        <v>26</v>
      </c>
      <c r="M431" s="5" t="s">
        <v>276</v>
      </c>
      <c r="N431" s="5" t="s">
        <v>27</v>
      </c>
      <c r="O431" s="5">
        <v>12</v>
      </c>
      <c r="P431" s="5">
        <v>170</v>
      </c>
      <c r="Q431" s="5">
        <v>20</v>
      </c>
      <c r="R431" s="5" t="s">
        <v>28</v>
      </c>
      <c r="S431" s="5" t="s">
        <v>29</v>
      </c>
      <c r="T431" s="5" t="s">
        <v>258</v>
      </c>
      <c r="U431" s="7" t="s">
        <v>259</v>
      </c>
    </row>
    <row r="432" spans="1:21" x14ac:dyDescent="0.25">
      <c r="A432" s="4">
        <v>1304059</v>
      </c>
      <c r="B432" s="5" t="s">
        <v>39</v>
      </c>
      <c r="C432" s="6">
        <v>44656</v>
      </c>
      <c r="D432" s="5" t="s">
        <v>357</v>
      </c>
      <c r="E432" s="5" t="s">
        <v>59</v>
      </c>
      <c r="F432" s="5" t="s">
        <v>253</v>
      </c>
      <c r="G432" s="5" t="s">
        <v>21</v>
      </c>
      <c r="H432" s="5" t="s">
        <v>59</v>
      </c>
      <c r="I432" s="5" t="s">
        <v>37</v>
      </c>
      <c r="J432" s="5" t="s">
        <v>24</v>
      </c>
      <c r="K432" s="5" t="s">
        <v>24</v>
      </c>
      <c r="L432" s="5" t="s">
        <v>26</v>
      </c>
      <c r="M432" s="5" t="s">
        <v>24</v>
      </c>
      <c r="N432" s="5" t="s">
        <v>38</v>
      </c>
      <c r="O432" s="5">
        <v>4</v>
      </c>
      <c r="P432" s="5">
        <v>170</v>
      </c>
      <c r="Q432" s="5">
        <v>20</v>
      </c>
      <c r="R432" s="5" t="s">
        <v>28</v>
      </c>
      <c r="S432" s="5" t="s">
        <v>29</v>
      </c>
      <c r="T432" s="5" t="s">
        <v>105</v>
      </c>
      <c r="U432" s="7" t="s">
        <v>270</v>
      </c>
    </row>
    <row r="433" spans="1:21" x14ac:dyDescent="0.25">
      <c r="A433" s="4">
        <v>1304060</v>
      </c>
      <c r="B433" s="5" t="s">
        <v>111</v>
      </c>
      <c r="C433" s="6">
        <v>44657</v>
      </c>
      <c r="D433" s="5" t="s">
        <v>357</v>
      </c>
      <c r="E433" s="5" t="s">
        <v>251</v>
      </c>
      <c r="F433" s="5" t="s">
        <v>278</v>
      </c>
      <c r="G433" s="5" t="s">
        <v>21</v>
      </c>
      <c r="H433" s="5" t="s">
        <v>251</v>
      </c>
      <c r="I433" s="5" t="s">
        <v>41</v>
      </c>
      <c r="J433" s="5" t="s">
        <v>25</v>
      </c>
      <c r="K433" s="5" t="s">
        <v>25</v>
      </c>
      <c r="L433" s="5" t="s">
        <v>26</v>
      </c>
      <c r="M433" s="5" t="s">
        <v>25</v>
      </c>
      <c r="N433" s="5" t="s">
        <v>38</v>
      </c>
      <c r="O433" s="5">
        <v>5</v>
      </c>
      <c r="P433" s="5">
        <v>162</v>
      </c>
      <c r="Q433" s="5">
        <v>20</v>
      </c>
      <c r="R433" s="5" t="s">
        <v>28</v>
      </c>
      <c r="S433" s="5" t="s">
        <v>29</v>
      </c>
      <c r="T433" s="5" t="s">
        <v>113</v>
      </c>
      <c r="U433" s="7" t="s">
        <v>186</v>
      </c>
    </row>
    <row r="434" spans="1:21" x14ac:dyDescent="0.25">
      <c r="A434" s="4">
        <v>1304061</v>
      </c>
      <c r="B434" s="5" t="s">
        <v>39</v>
      </c>
      <c r="C434" s="6">
        <v>44658</v>
      </c>
      <c r="D434" s="5" t="s">
        <v>357</v>
      </c>
      <c r="E434" s="5" t="s">
        <v>177</v>
      </c>
      <c r="F434" s="5" t="s">
        <v>275</v>
      </c>
      <c r="G434" s="5" t="s">
        <v>21</v>
      </c>
      <c r="H434" s="5" t="s">
        <v>177</v>
      </c>
      <c r="I434" s="5" t="s">
        <v>229</v>
      </c>
      <c r="J434" s="5" t="s">
        <v>276</v>
      </c>
      <c r="K434" s="5" t="s">
        <v>276</v>
      </c>
      <c r="L434" s="5" t="s">
        <v>26</v>
      </c>
      <c r="M434" s="5" t="s">
        <v>276</v>
      </c>
      <c r="N434" s="5" t="s">
        <v>38</v>
      </c>
      <c r="O434" s="5">
        <v>6</v>
      </c>
      <c r="P434" s="5">
        <v>150</v>
      </c>
      <c r="Q434" s="5">
        <v>20</v>
      </c>
      <c r="R434" s="5" t="s">
        <v>28</v>
      </c>
      <c r="S434" s="5" t="s">
        <v>29</v>
      </c>
      <c r="T434" s="5" t="s">
        <v>91</v>
      </c>
      <c r="U434" s="7" t="s">
        <v>269</v>
      </c>
    </row>
    <row r="435" spans="1:21" x14ac:dyDescent="0.25">
      <c r="A435" s="4">
        <v>1304062</v>
      </c>
      <c r="B435" s="5" t="s">
        <v>39</v>
      </c>
      <c r="C435" s="6">
        <v>44659</v>
      </c>
      <c r="D435" s="5" t="s">
        <v>357</v>
      </c>
      <c r="E435" s="5" t="s">
        <v>242</v>
      </c>
      <c r="F435" s="5" t="s">
        <v>80</v>
      </c>
      <c r="G435" s="5" t="s">
        <v>21</v>
      </c>
      <c r="H435" s="5" t="s">
        <v>242</v>
      </c>
      <c r="I435" s="5" t="s">
        <v>254</v>
      </c>
      <c r="J435" s="5" t="s">
        <v>277</v>
      </c>
      <c r="K435" s="5" t="s">
        <v>277</v>
      </c>
      <c r="L435" s="5" t="s">
        <v>26</v>
      </c>
      <c r="M435" s="5" t="s">
        <v>277</v>
      </c>
      <c r="N435" s="5" t="s">
        <v>38</v>
      </c>
      <c r="O435" s="5">
        <v>6</v>
      </c>
      <c r="P435" s="5">
        <v>190</v>
      </c>
      <c r="Q435" s="5">
        <v>20</v>
      </c>
      <c r="R435" s="5" t="s">
        <v>28</v>
      </c>
      <c r="S435" s="5" t="s">
        <v>29</v>
      </c>
      <c r="T435" s="5" t="s">
        <v>105</v>
      </c>
      <c r="U435" s="7" t="s">
        <v>173</v>
      </c>
    </row>
    <row r="436" spans="1:21" x14ac:dyDescent="0.25">
      <c r="A436" s="4">
        <v>1304063</v>
      </c>
      <c r="B436" s="5" t="s">
        <v>39</v>
      </c>
      <c r="C436" s="6">
        <v>44660</v>
      </c>
      <c r="D436" s="5" t="s">
        <v>357</v>
      </c>
      <c r="E436" s="5" t="s">
        <v>283</v>
      </c>
      <c r="F436" s="5" t="s">
        <v>275</v>
      </c>
      <c r="G436" s="5" t="s">
        <v>21</v>
      </c>
      <c r="H436" s="5" t="s">
        <v>283</v>
      </c>
      <c r="I436" s="5" t="s">
        <v>33</v>
      </c>
      <c r="J436" s="5" t="s">
        <v>121</v>
      </c>
      <c r="K436" s="5" t="s">
        <v>121</v>
      </c>
      <c r="L436" s="5" t="s">
        <v>26</v>
      </c>
      <c r="M436" s="5" t="s">
        <v>121</v>
      </c>
      <c r="N436" s="5" t="s">
        <v>38</v>
      </c>
      <c r="O436" s="5">
        <v>8</v>
      </c>
      <c r="P436" s="5">
        <v>155</v>
      </c>
      <c r="Q436" s="5">
        <v>20</v>
      </c>
      <c r="R436" s="5" t="s">
        <v>28</v>
      </c>
      <c r="S436" s="5" t="s">
        <v>29</v>
      </c>
      <c r="T436" s="5" t="s">
        <v>259</v>
      </c>
      <c r="U436" s="7" t="s">
        <v>174</v>
      </c>
    </row>
    <row r="437" spans="1:21" x14ac:dyDescent="0.25">
      <c r="A437" s="4">
        <v>1304064</v>
      </c>
      <c r="B437" s="5" t="s">
        <v>111</v>
      </c>
      <c r="C437" s="6">
        <v>44660</v>
      </c>
      <c r="D437" s="5" t="s">
        <v>357</v>
      </c>
      <c r="E437" s="5" t="s">
        <v>284</v>
      </c>
      <c r="F437" s="5" t="s">
        <v>278</v>
      </c>
      <c r="G437" s="5" t="s">
        <v>21</v>
      </c>
      <c r="H437" s="5" t="s">
        <v>284</v>
      </c>
      <c r="I437" s="5" t="s">
        <v>41</v>
      </c>
      <c r="J437" s="5" t="s">
        <v>24</v>
      </c>
      <c r="K437" s="5" t="s">
        <v>24</v>
      </c>
      <c r="L437" s="5" t="s">
        <v>26</v>
      </c>
      <c r="M437" s="5" t="s">
        <v>24</v>
      </c>
      <c r="N437" s="5" t="s">
        <v>38</v>
      </c>
      <c r="O437" s="5">
        <v>7</v>
      </c>
      <c r="P437" s="5">
        <v>152</v>
      </c>
      <c r="Q437" s="5">
        <v>20</v>
      </c>
      <c r="R437" s="5" t="s">
        <v>28</v>
      </c>
      <c r="S437" s="5" t="s">
        <v>29</v>
      </c>
      <c r="T437" s="5" t="s">
        <v>113</v>
      </c>
      <c r="U437" s="7" t="s">
        <v>186</v>
      </c>
    </row>
    <row r="438" spans="1:21" x14ac:dyDescent="0.25">
      <c r="A438" s="4">
        <v>1304065</v>
      </c>
      <c r="B438" s="5" t="s">
        <v>39</v>
      </c>
      <c r="C438" s="6">
        <v>44661</v>
      </c>
      <c r="D438" s="5" t="s">
        <v>357</v>
      </c>
      <c r="E438" s="5" t="s">
        <v>226</v>
      </c>
      <c r="F438" s="5" t="s">
        <v>80</v>
      </c>
      <c r="G438" s="5" t="s">
        <v>21</v>
      </c>
      <c r="H438" s="5" t="s">
        <v>226</v>
      </c>
      <c r="I438" s="5" t="s">
        <v>229</v>
      </c>
      <c r="J438" s="5" t="s">
        <v>25</v>
      </c>
      <c r="K438" s="5" t="s">
        <v>25</v>
      </c>
      <c r="L438" s="5" t="s">
        <v>26</v>
      </c>
      <c r="M438" s="5" t="s">
        <v>229</v>
      </c>
      <c r="N438" s="5" t="s">
        <v>27</v>
      </c>
      <c r="O438" s="5">
        <v>44</v>
      </c>
      <c r="P438" s="5">
        <v>216</v>
      </c>
      <c r="Q438" s="5">
        <v>20</v>
      </c>
      <c r="R438" s="5" t="s">
        <v>28</v>
      </c>
      <c r="S438" s="5" t="s">
        <v>29</v>
      </c>
      <c r="T438" s="5" t="s">
        <v>155</v>
      </c>
      <c r="U438" s="7" t="s">
        <v>258</v>
      </c>
    </row>
    <row r="439" spans="1:21" x14ac:dyDescent="0.25">
      <c r="A439" s="4">
        <v>1304066</v>
      </c>
      <c r="B439" s="5" t="s">
        <v>39</v>
      </c>
      <c r="C439" s="6">
        <v>44661</v>
      </c>
      <c r="D439" s="5" t="s">
        <v>357</v>
      </c>
      <c r="E439" s="5" t="s">
        <v>140</v>
      </c>
      <c r="F439" s="5" t="s">
        <v>253</v>
      </c>
      <c r="G439" s="5" t="s">
        <v>21</v>
      </c>
      <c r="H439" s="5" t="s">
        <v>140</v>
      </c>
      <c r="I439" s="5" t="s">
        <v>37</v>
      </c>
      <c r="J439" s="5" t="s">
        <v>276</v>
      </c>
      <c r="K439" s="5" t="s">
        <v>276</v>
      </c>
      <c r="L439" s="5" t="s">
        <v>26</v>
      </c>
      <c r="M439" s="5" t="s">
        <v>37</v>
      </c>
      <c r="N439" s="5" t="s">
        <v>27</v>
      </c>
      <c r="O439" s="5">
        <v>3</v>
      </c>
      <c r="P439" s="5">
        <v>166</v>
      </c>
      <c r="Q439" s="5">
        <v>20</v>
      </c>
      <c r="R439" s="5" t="s">
        <v>28</v>
      </c>
      <c r="S439" s="5" t="s">
        <v>29</v>
      </c>
      <c r="T439" s="5" t="s">
        <v>105</v>
      </c>
      <c r="U439" s="7" t="s">
        <v>269</v>
      </c>
    </row>
    <row r="440" spans="1:21" x14ac:dyDescent="0.25">
      <c r="A440" s="4">
        <v>1304067</v>
      </c>
      <c r="B440" s="5" t="s">
        <v>39</v>
      </c>
      <c r="C440" s="6">
        <v>44662</v>
      </c>
      <c r="D440" s="5" t="s">
        <v>357</v>
      </c>
      <c r="E440" s="5" t="s">
        <v>204</v>
      </c>
      <c r="F440" s="5" t="s">
        <v>275</v>
      </c>
      <c r="G440" s="5" t="s">
        <v>21</v>
      </c>
      <c r="H440" s="5" t="s">
        <v>204</v>
      </c>
      <c r="I440" s="5" t="s">
        <v>277</v>
      </c>
      <c r="J440" s="5" t="s">
        <v>121</v>
      </c>
      <c r="K440" s="5" t="s">
        <v>121</v>
      </c>
      <c r="L440" s="5" t="s">
        <v>26</v>
      </c>
      <c r="M440" s="5" t="s">
        <v>121</v>
      </c>
      <c r="N440" s="5" t="s">
        <v>38</v>
      </c>
      <c r="O440" s="5">
        <v>8</v>
      </c>
      <c r="P440" s="5">
        <v>163</v>
      </c>
      <c r="Q440" s="5">
        <v>20</v>
      </c>
      <c r="R440" s="5" t="s">
        <v>28</v>
      </c>
      <c r="S440" s="5" t="s">
        <v>29</v>
      </c>
      <c r="T440" s="5" t="s">
        <v>285</v>
      </c>
      <c r="U440" s="7" t="s">
        <v>91</v>
      </c>
    </row>
    <row r="441" spans="1:21" x14ac:dyDescent="0.25">
      <c r="A441" s="4">
        <v>1304068</v>
      </c>
      <c r="B441" s="5" t="s">
        <v>39</v>
      </c>
      <c r="C441" s="6">
        <v>44663</v>
      </c>
      <c r="D441" s="5" t="s">
        <v>357</v>
      </c>
      <c r="E441" s="5" t="s">
        <v>286</v>
      </c>
      <c r="F441" s="5" t="s">
        <v>275</v>
      </c>
      <c r="G441" s="5" t="s">
        <v>21</v>
      </c>
      <c r="H441" s="5" t="s">
        <v>286</v>
      </c>
      <c r="I441" s="5" t="s">
        <v>33</v>
      </c>
      <c r="J441" s="5" t="s">
        <v>24</v>
      </c>
      <c r="K441" s="5" t="s">
        <v>24</v>
      </c>
      <c r="L441" s="5" t="s">
        <v>26</v>
      </c>
      <c r="M441" s="5" t="s">
        <v>33</v>
      </c>
      <c r="N441" s="5" t="s">
        <v>27</v>
      </c>
      <c r="O441" s="5">
        <v>23</v>
      </c>
      <c r="P441" s="5">
        <v>217</v>
      </c>
      <c r="Q441" s="5">
        <v>20</v>
      </c>
      <c r="R441" s="5" t="s">
        <v>28</v>
      </c>
      <c r="S441" s="5" t="s">
        <v>29</v>
      </c>
      <c r="T441" s="5" t="s">
        <v>174</v>
      </c>
      <c r="U441" s="7" t="s">
        <v>287</v>
      </c>
    </row>
    <row r="442" spans="1:21" x14ac:dyDescent="0.25">
      <c r="A442" s="4">
        <v>1304069</v>
      </c>
      <c r="B442" s="5" t="s">
        <v>111</v>
      </c>
      <c r="C442" s="6">
        <v>44664</v>
      </c>
      <c r="D442" s="5" t="s">
        <v>357</v>
      </c>
      <c r="E442" s="5" t="s">
        <v>159</v>
      </c>
      <c r="F442" s="5" t="s">
        <v>278</v>
      </c>
      <c r="G442" s="5" t="s">
        <v>21</v>
      </c>
      <c r="H442" s="5" t="s">
        <v>159</v>
      </c>
      <c r="I442" s="5" t="s">
        <v>254</v>
      </c>
      <c r="J442" s="5" t="s">
        <v>41</v>
      </c>
      <c r="K442" s="5" t="s">
        <v>41</v>
      </c>
      <c r="L442" s="5" t="s">
        <v>26</v>
      </c>
      <c r="M442" s="5" t="s">
        <v>254</v>
      </c>
      <c r="N442" s="5" t="s">
        <v>27</v>
      </c>
      <c r="O442" s="5">
        <v>12</v>
      </c>
      <c r="P442" s="5">
        <v>199</v>
      </c>
      <c r="Q442" s="5">
        <v>20</v>
      </c>
      <c r="R442" s="5" t="s">
        <v>28</v>
      </c>
      <c r="S442" s="5" t="s">
        <v>29</v>
      </c>
      <c r="T442" s="5" t="s">
        <v>113</v>
      </c>
      <c r="U442" s="7" t="s">
        <v>237</v>
      </c>
    </row>
    <row r="443" spans="1:21" x14ac:dyDescent="0.25">
      <c r="A443" s="4">
        <v>1304070</v>
      </c>
      <c r="B443" s="5" t="s">
        <v>39</v>
      </c>
      <c r="C443" s="6">
        <v>44665</v>
      </c>
      <c r="D443" s="5" t="s">
        <v>357</v>
      </c>
      <c r="E443" s="5" t="s">
        <v>167</v>
      </c>
      <c r="F443" s="5" t="s">
        <v>275</v>
      </c>
      <c r="G443" s="5" t="s">
        <v>21</v>
      </c>
      <c r="H443" s="5" t="s">
        <v>167</v>
      </c>
      <c r="I443" s="5" t="s">
        <v>277</v>
      </c>
      <c r="J443" s="5" t="s">
        <v>37</v>
      </c>
      <c r="K443" s="5" t="s">
        <v>37</v>
      </c>
      <c r="L443" s="5" t="s">
        <v>26</v>
      </c>
      <c r="M443" s="5" t="s">
        <v>277</v>
      </c>
      <c r="N443" s="5" t="s">
        <v>27</v>
      </c>
      <c r="O443" s="5">
        <v>37</v>
      </c>
      <c r="P443" s="5">
        <v>193</v>
      </c>
      <c r="Q443" s="5">
        <v>20</v>
      </c>
      <c r="R443" s="5" t="s">
        <v>28</v>
      </c>
      <c r="S443" s="5" t="s">
        <v>29</v>
      </c>
      <c r="T443" s="5" t="s">
        <v>155</v>
      </c>
      <c r="U443" s="7" t="s">
        <v>288</v>
      </c>
    </row>
    <row r="444" spans="1:21" x14ac:dyDescent="0.25">
      <c r="A444" s="4">
        <v>1304071</v>
      </c>
      <c r="B444" s="5" t="s">
        <v>39</v>
      </c>
      <c r="C444" s="6">
        <v>44666</v>
      </c>
      <c r="D444" s="5" t="s">
        <v>357</v>
      </c>
      <c r="E444" s="5" t="s">
        <v>208</v>
      </c>
      <c r="F444" s="5" t="s">
        <v>80</v>
      </c>
      <c r="G444" s="5" t="s">
        <v>21</v>
      </c>
      <c r="H444" s="5" t="s">
        <v>208</v>
      </c>
      <c r="I444" s="5" t="s">
        <v>25</v>
      </c>
      <c r="J444" s="5" t="s">
        <v>121</v>
      </c>
      <c r="K444" s="5" t="s">
        <v>121</v>
      </c>
      <c r="L444" s="5" t="s">
        <v>26</v>
      </c>
      <c r="M444" s="5" t="s">
        <v>121</v>
      </c>
      <c r="N444" s="5" t="s">
        <v>38</v>
      </c>
      <c r="O444" s="5">
        <v>7</v>
      </c>
      <c r="P444" s="5">
        <v>176</v>
      </c>
      <c r="Q444" s="5">
        <v>20</v>
      </c>
      <c r="R444" s="5" t="s">
        <v>28</v>
      </c>
      <c r="S444" s="5" t="s">
        <v>29</v>
      </c>
      <c r="T444" s="5" t="s">
        <v>289</v>
      </c>
      <c r="U444" s="7" t="s">
        <v>173</v>
      </c>
    </row>
    <row r="445" spans="1:21" x14ac:dyDescent="0.25">
      <c r="A445" s="4">
        <v>1304072</v>
      </c>
      <c r="B445" s="5" t="s">
        <v>39</v>
      </c>
      <c r="C445" s="6">
        <v>44667</v>
      </c>
      <c r="D445" s="5" t="s">
        <v>357</v>
      </c>
      <c r="E445" s="5" t="s">
        <v>213</v>
      </c>
      <c r="F445" s="5" t="s">
        <v>80</v>
      </c>
      <c r="G445" s="5" t="s">
        <v>21</v>
      </c>
      <c r="H445" s="5" t="s">
        <v>213</v>
      </c>
      <c r="I445" s="5" t="s">
        <v>276</v>
      </c>
      <c r="J445" s="5" t="s">
        <v>41</v>
      </c>
      <c r="K445" s="5" t="s">
        <v>41</v>
      </c>
      <c r="L445" s="5" t="s">
        <v>26</v>
      </c>
      <c r="M445" s="5" t="s">
        <v>276</v>
      </c>
      <c r="N445" s="5" t="s">
        <v>27</v>
      </c>
      <c r="O445" s="5">
        <v>18</v>
      </c>
      <c r="P445" s="5">
        <v>200</v>
      </c>
      <c r="Q445" s="5">
        <v>20</v>
      </c>
      <c r="R445" s="5" t="s">
        <v>28</v>
      </c>
      <c r="S445" s="5" t="s">
        <v>29</v>
      </c>
      <c r="T445" s="5" t="s">
        <v>105</v>
      </c>
      <c r="U445" s="7" t="s">
        <v>290</v>
      </c>
    </row>
    <row r="446" spans="1:21" x14ac:dyDescent="0.25">
      <c r="A446" s="4">
        <v>1304073</v>
      </c>
      <c r="B446" s="5" t="s">
        <v>39</v>
      </c>
      <c r="C446" s="6">
        <v>44667</v>
      </c>
      <c r="D446" s="5" t="s">
        <v>357</v>
      </c>
      <c r="E446" s="5" t="s">
        <v>59</v>
      </c>
      <c r="F446" s="5" t="s">
        <v>253</v>
      </c>
      <c r="G446" s="5" t="s">
        <v>21</v>
      </c>
      <c r="H446" s="5" t="s">
        <v>59</v>
      </c>
      <c r="I446" s="5" t="s">
        <v>24</v>
      </c>
      <c r="J446" s="5" t="s">
        <v>229</v>
      </c>
      <c r="K446" s="5" t="s">
        <v>229</v>
      </c>
      <c r="L446" s="5" t="s">
        <v>26</v>
      </c>
      <c r="M446" s="5" t="s">
        <v>24</v>
      </c>
      <c r="N446" s="5" t="s">
        <v>27</v>
      </c>
      <c r="O446" s="5">
        <v>16</v>
      </c>
      <c r="P446" s="5">
        <v>190</v>
      </c>
      <c r="Q446" s="5">
        <v>20</v>
      </c>
      <c r="R446" s="5" t="s">
        <v>28</v>
      </c>
      <c r="S446" s="5" t="s">
        <v>29</v>
      </c>
      <c r="T446" s="5" t="s">
        <v>285</v>
      </c>
      <c r="U446" s="7" t="s">
        <v>258</v>
      </c>
    </row>
    <row r="447" spans="1:21" x14ac:dyDescent="0.25">
      <c r="A447" s="4">
        <v>1304074</v>
      </c>
      <c r="B447" s="5" t="s">
        <v>39</v>
      </c>
      <c r="C447" s="6">
        <v>44668</v>
      </c>
      <c r="D447" s="5" t="s">
        <v>357</v>
      </c>
      <c r="E447" s="5" t="s">
        <v>291</v>
      </c>
      <c r="F447" s="5" t="s">
        <v>275</v>
      </c>
      <c r="G447" s="5" t="s">
        <v>21</v>
      </c>
      <c r="H447" s="5" t="s">
        <v>291</v>
      </c>
      <c r="I447" s="5" t="s">
        <v>254</v>
      </c>
      <c r="J447" s="5" t="s">
        <v>121</v>
      </c>
      <c r="K447" s="5" t="s">
        <v>121</v>
      </c>
      <c r="L447" s="5" t="s">
        <v>26</v>
      </c>
      <c r="M447" s="5" t="s">
        <v>121</v>
      </c>
      <c r="N447" s="5" t="s">
        <v>38</v>
      </c>
      <c r="O447" s="5">
        <v>7</v>
      </c>
      <c r="P447" s="5">
        <v>152</v>
      </c>
      <c r="Q447" s="5">
        <v>20</v>
      </c>
      <c r="R447" s="5" t="s">
        <v>28</v>
      </c>
      <c r="S447" s="5" t="s">
        <v>29</v>
      </c>
      <c r="T447" s="5" t="s">
        <v>151</v>
      </c>
      <c r="U447" s="7" t="s">
        <v>288</v>
      </c>
    </row>
    <row r="448" spans="1:21" x14ac:dyDescent="0.25">
      <c r="A448" s="4">
        <v>1304075</v>
      </c>
      <c r="B448" s="5" t="s">
        <v>111</v>
      </c>
      <c r="C448" s="6">
        <v>44668</v>
      </c>
      <c r="D448" s="5" t="s">
        <v>357</v>
      </c>
      <c r="E448" s="5" t="s">
        <v>128</v>
      </c>
      <c r="F448" s="5" t="s">
        <v>278</v>
      </c>
      <c r="G448" s="5" t="s">
        <v>21</v>
      </c>
      <c r="H448" s="5" t="s">
        <v>128</v>
      </c>
      <c r="I448" s="5" t="s">
        <v>33</v>
      </c>
      <c r="J448" s="5" t="s">
        <v>277</v>
      </c>
      <c r="K448" s="5" t="s">
        <v>277</v>
      </c>
      <c r="L448" s="5" t="s">
        <v>26</v>
      </c>
      <c r="M448" s="5" t="s">
        <v>277</v>
      </c>
      <c r="N448" s="5" t="s">
        <v>38</v>
      </c>
      <c r="O448" s="5">
        <v>3</v>
      </c>
      <c r="P448" s="5">
        <v>170</v>
      </c>
      <c r="Q448" s="5">
        <v>20</v>
      </c>
      <c r="R448" s="5" t="s">
        <v>28</v>
      </c>
      <c r="S448" s="5" t="s">
        <v>29</v>
      </c>
      <c r="T448" s="5" t="s">
        <v>186</v>
      </c>
      <c r="U448" s="7" t="s">
        <v>237</v>
      </c>
    </row>
    <row r="449" spans="1:21" x14ac:dyDescent="0.25">
      <c r="A449" s="4">
        <v>1304076</v>
      </c>
      <c r="B449" s="5" t="s">
        <v>39</v>
      </c>
      <c r="C449" s="6">
        <v>44669</v>
      </c>
      <c r="D449" s="5" t="s">
        <v>357</v>
      </c>
      <c r="E449" s="5" t="s">
        <v>140</v>
      </c>
      <c r="F449" s="5" t="s">
        <v>80</v>
      </c>
      <c r="G449" s="5" t="s">
        <v>21</v>
      </c>
      <c r="H449" s="5" t="s">
        <v>140</v>
      </c>
      <c r="I449" s="5" t="s">
        <v>37</v>
      </c>
      <c r="J449" s="5" t="s">
        <v>25</v>
      </c>
      <c r="K449" s="5" t="s">
        <v>25</v>
      </c>
      <c r="L449" s="5" t="s">
        <v>26</v>
      </c>
      <c r="M449" s="5" t="s">
        <v>37</v>
      </c>
      <c r="N449" s="5" t="s">
        <v>27</v>
      </c>
      <c r="O449" s="5">
        <v>7</v>
      </c>
      <c r="P449" s="5">
        <v>218</v>
      </c>
      <c r="Q449" s="5">
        <v>20</v>
      </c>
      <c r="R449" s="5" t="s">
        <v>28</v>
      </c>
      <c r="S449" s="5" t="s">
        <v>29</v>
      </c>
      <c r="T449" s="5" t="s">
        <v>289</v>
      </c>
      <c r="U449" s="7" t="s">
        <v>173</v>
      </c>
    </row>
    <row r="450" spans="1:21" x14ac:dyDescent="0.25">
      <c r="A450" s="4">
        <v>1304077</v>
      </c>
      <c r="B450" s="5" t="s">
        <v>39</v>
      </c>
      <c r="C450" s="6">
        <v>44670</v>
      </c>
      <c r="D450" s="5" t="s">
        <v>357</v>
      </c>
      <c r="E450" s="5" t="s">
        <v>114</v>
      </c>
      <c r="F450" s="5" t="s">
        <v>275</v>
      </c>
      <c r="G450" s="5" t="s">
        <v>21</v>
      </c>
      <c r="H450" s="5" t="s">
        <v>114</v>
      </c>
      <c r="I450" s="5" t="s">
        <v>24</v>
      </c>
      <c r="J450" s="5" t="s">
        <v>276</v>
      </c>
      <c r="K450" s="5" t="s">
        <v>276</v>
      </c>
      <c r="L450" s="5" t="s">
        <v>26</v>
      </c>
      <c r="M450" s="5" t="s">
        <v>24</v>
      </c>
      <c r="N450" s="5" t="s">
        <v>27</v>
      </c>
      <c r="O450" s="5">
        <v>18</v>
      </c>
      <c r="P450" s="5">
        <v>182</v>
      </c>
      <c r="Q450" s="5">
        <v>20</v>
      </c>
      <c r="R450" s="5" t="s">
        <v>28</v>
      </c>
      <c r="S450" s="5" t="s">
        <v>29</v>
      </c>
      <c r="T450" s="5" t="s">
        <v>155</v>
      </c>
      <c r="U450" s="7" t="s">
        <v>287</v>
      </c>
    </row>
    <row r="451" spans="1:21" x14ac:dyDescent="0.25">
      <c r="A451" s="4">
        <v>1304078</v>
      </c>
      <c r="B451" s="5" t="s">
        <v>39</v>
      </c>
      <c r="C451" s="6">
        <v>44671</v>
      </c>
      <c r="D451" s="5" t="s">
        <v>357</v>
      </c>
      <c r="E451" s="5" t="s">
        <v>226</v>
      </c>
      <c r="F451" s="5" t="s">
        <v>80</v>
      </c>
      <c r="G451" s="5" t="s">
        <v>21</v>
      </c>
      <c r="H451" s="5" t="s">
        <v>226</v>
      </c>
      <c r="I451" s="5" t="s">
        <v>254</v>
      </c>
      <c r="J451" s="5" t="s">
        <v>229</v>
      </c>
      <c r="K451" s="5" t="s">
        <v>229</v>
      </c>
      <c r="L451" s="5" t="s">
        <v>26</v>
      </c>
      <c r="M451" s="5" t="s">
        <v>229</v>
      </c>
      <c r="N451" s="5" t="s">
        <v>38</v>
      </c>
      <c r="O451" s="5">
        <v>9</v>
      </c>
      <c r="P451" s="5">
        <v>116</v>
      </c>
      <c r="Q451" s="5">
        <v>20</v>
      </c>
      <c r="R451" s="5" t="s">
        <v>28</v>
      </c>
      <c r="S451" s="5" t="s">
        <v>29</v>
      </c>
      <c r="T451" s="5" t="s">
        <v>91</v>
      </c>
      <c r="U451" s="7" t="s">
        <v>269</v>
      </c>
    </row>
    <row r="452" spans="1:21" x14ac:dyDescent="0.25">
      <c r="A452" s="4">
        <v>1304079</v>
      </c>
      <c r="B452" s="5" t="s">
        <v>292</v>
      </c>
      <c r="C452" s="6">
        <v>44672</v>
      </c>
      <c r="D452" s="5" t="s">
        <v>357</v>
      </c>
      <c r="E452" s="5" t="s">
        <v>293</v>
      </c>
      <c r="F452" s="5" t="s">
        <v>275</v>
      </c>
      <c r="G452" s="5" t="s">
        <v>21</v>
      </c>
      <c r="H452" s="5" t="s">
        <v>293</v>
      </c>
      <c r="I452" s="5" t="s">
        <v>41</v>
      </c>
      <c r="J452" s="5" t="s">
        <v>33</v>
      </c>
      <c r="K452" s="5" t="s">
        <v>33</v>
      </c>
      <c r="L452" s="5" t="s">
        <v>26</v>
      </c>
      <c r="M452" s="5" t="s">
        <v>33</v>
      </c>
      <c r="N452" s="5" t="s">
        <v>38</v>
      </c>
      <c r="O452" s="5">
        <v>3</v>
      </c>
      <c r="P452" s="5">
        <v>156</v>
      </c>
      <c r="Q452" s="5">
        <v>20</v>
      </c>
      <c r="R452" s="5" t="s">
        <v>28</v>
      </c>
      <c r="S452" s="5" t="s">
        <v>29</v>
      </c>
      <c r="T452" s="5" t="s">
        <v>113</v>
      </c>
      <c r="U452" s="7" t="s">
        <v>237</v>
      </c>
    </row>
    <row r="453" spans="1:21" x14ac:dyDescent="0.25">
      <c r="A453" s="4">
        <v>1304080</v>
      </c>
      <c r="B453" s="5" t="s">
        <v>39</v>
      </c>
      <c r="C453" s="6">
        <v>44673</v>
      </c>
      <c r="D453" s="5" t="s">
        <v>357</v>
      </c>
      <c r="E453" s="5" t="s">
        <v>205</v>
      </c>
      <c r="F453" s="5" t="s">
        <v>253</v>
      </c>
      <c r="G453" s="5" t="s">
        <v>21</v>
      </c>
      <c r="H453" s="5" t="s">
        <v>205</v>
      </c>
      <c r="I453" s="5" t="s">
        <v>37</v>
      </c>
      <c r="J453" s="5" t="s">
        <v>229</v>
      </c>
      <c r="K453" s="5" t="s">
        <v>229</v>
      </c>
      <c r="L453" s="5" t="s">
        <v>26</v>
      </c>
      <c r="M453" s="5" t="s">
        <v>37</v>
      </c>
      <c r="N453" s="5" t="s">
        <v>27</v>
      </c>
      <c r="O453" s="5">
        <v>15</v>
      </c>
      <c r="P453" s="5">
        <v>223</v>
      </c>
      <c r="Q453" s="5">
        <v>20</v>
      </c>
      <c r="R453" s="5" t="s">
        <v>28</v>
      </c>
      <c r="S453" s="5" t="s">
        <v>29</v>
      </c>
      <c r="T453" s="5" t="s">
        <v>290</v>
      </c>
      <c r="U453" s="7" t="s">
        <v>174</v>
      </c>
    </row>
    <row r="454" spans="1:21" x14ac:dyDescent="0.25">
      <c r="A454" s="4">
        <v>1304081</v>
      </c>
      <c r="B454" s="5" t="s">
        <v>292</v>
      </c>
      <c r="C454" s="6">
        <v>44674</v>
      </c>
      <c r="D454" s="5" t="s">
        <v>357</v>
      </c>
      <c r="E454" s="5" t="s">
        <v>197</v>
      </c>
      <c r="F454" s="5" t="s">
        <v>275</v>
      </c>
      <c r="G454" s="5" t="s">
        <v>21</v>
      </c>
      <c r="H454" s="5" t="s">
        <v>197</v>
      </c>
      <c r="I454" s="5" t="s">
        <v>277</v>
      </c>
      <c r="J454" s="5" t="s">
        <v>25</v>
      </c>
      <c r="K454" s="5" t="s">
        <v>277</v>
      </c>
      <c r="L454" s="5" t="s">
        <v>34</v>
      </c>
      <c r="M454" s="5" t="s">
        <v>277</v>
      </c>
      <c r="N454" s="5" t="s">
        <v>27</v>
      </c>
      <c r="O454" s="5">
        <v>8</v>
      </c>
      <c r="P454" s="5">
        <v>157</v>
      </c>
      <c r="Q454" s="5">
        <v>20</v>
      </c>
      <c r="R454" s="5" t="s">
        <v>28</v>
      </c>
      <c r="S454" s="5" t="s">
        <v>29</v>
      </c>
      <c r="T454" s="5" t="s">
        <v>186</v>
      </c>
      <c r="U454" s="7" t="s">
        <v>237</v>
      </c>
    </row>
    <row r="455" spans="1:21" x14ac:dyDescent="0.25">
      <c r="A455" s="4">
        <v>1304082</v>
      </c>
      <c r="B455" s="5" t="s">
        <v>39</v>
      </c>
      <c r="C455" s="6">
        <v>44674</v>
      </c>
      <c r="D455" s="5" t="s">
        <v>357</v>
      </c>
      <c r="E455" s="5" t="s">
        <v>294</v>
      </c>
      <c r="F455" s="5" t="s">
        <v>80</v>
      </c>
      <c r="G455" s="5" t="s">
        <v>21</v>
      </c>
      <c r="H455" s="5" t="s">
        <v>294</v>
      </c>
      <c r="I455" s="5" t="s">
        <v>24</v>
      </c>
      <c r="J455" s="5" t="s">
        <v>121</v>
      </c>
      <c r="K455" s="5" t="s">
        <v>121</v>
      </c>
      <c r="L455" s="5" t="s">
        <v>26</v>
      </c>
      <c r="M455" s="5" t="s">
        <v>121</v>
      </c>
      <c r="N455" s="5" t="s">
        <v>38</v>
      </c>
      <c r="O455" s="5">
        <v>9</v>
      </c>
      <c r="P455" s="5">
        <v>69</v>
      </c>
      <c r="Q455" s="5">
        <v>20</v>
      </c>
      <c r="R455" s="5" t="s">
        <v>28</v>
      </c>
      <c r="S455" s="5" t="s">
        <v>29</v>
      </c>
      <c r="T455" s="5" t="s">
        <v>285</v>
      </c>
      <c r="U455" s="7" t="s">
        <v>258</v>
      </c>
    </row>
    <row r="456" spans="1:21" x14ac:dyDescent="0.25">
      <c r="A456" s="4">
        <v>1304083</v>
      </c>
      <c r="B456" s="5" t="s">
        <v>39</v>
      </c>
      <c r="C456" s="6">
        <v>44675</v>
      </c>
      <c r="D456" s="5" t="s">
        <v>357</v>
      </c>
      <c r="E456" s="5" t="s">
        <v>213</v>
      </c>
      <c r="F456" s="5" t="s">
        <v>253</v>
      </c>
      <c r="G456" s="5" t="s">
        <v>21</v>
      </c>
      <c r="H456" s="5" t="s">
        <v>213</v>
      </c>
      <c r="I456" s="5" t="s">
        <v>276</v>
      </c>
      <c r="J456" s="5" t="s">
        <v>41</v>
      </c>
      <c r="K456" s="5" t="s">
        <v>41</v>
      </c>
      <c r="L456" s="5" t="s">
        <v>26</v>
      </c>
      <c r="M456" s="5" t="s">
        <v>276</v>
      </c>
      <c r="N456" s="5" t="s">
        <v>27</v>
      </c>
      <c r="O456" s="5">
        <v>36</v>
      </c>
      <c r="P456" s="5">
        <v>169</v>
      </c>
      <c r="Q456" s="5">
        <v>20</v>
      </c>
      <c r="R456" s="5" t="s">
        <v>28</v>
      </c>
      <c r="S456" s="5" t="s">
        <v>29</v>
      </c>
      <c r="T456" s="5" t="s">
        <v>63</v>
      </c>
      <c r="U456" s="7" t="s">
        <v>270</v>
      </c>
    </row>
    <row r="457" spans="1:21" x14ac:dyDescent="0.25">
      <c r="A457" s="4">
        <v>1304084</v>
      </c>
      <c r="B457" s="5" t="s">
        <v>39</v>
      </c>
      <c r="C457" s="6">
        <v>44676</v>
      </c>
      <c r="D457" s="5" t="s">
        <v>357</v>
      </c>
      <c r="E457" s="5" t="s">
        <v>98</v>
      </c>
      <c r="F457" s="5" t="s">
        <v>253</v>
      </c>
      <c r="G457" s="5" t="s">
        <v>21</v>
      </c>
      <c r="H457" s="5" t="s">
        <v>98</v>
      </c>
      <c r="I457" s="5" t="s">
        <v>254</v>
      </c>
      <c r="J457" s="5" t="s">
        <v>33</v>
      </c>
      <c r="K457" s="5" t="s">
        <v>33</v>
      </c>
      <c r="L457" s="5" t="s">
        <v>26</v>
      </c>
      <c r="M457" s="5" t="s">
        <v>254</v>
      </c>
      <c r="N457" s="5" t="s">
        <v>27</v>
      </c>
      <c r="O457" s="5">
        <v>11</v>
      </c>
      <c r="P457" s="5">
        <v>188</v>
      </c>
      <c r="Q457" s="5">
        <v>20</v>
      </c>
      <c r="R457" s="5" t="s">
        <v>28</v>
      </c>
      <c r="S457" s="5" t="s">
        <v>29</v>
      </c>
      <c r="T457" s="5" t="s">
        <v>63</v>
      </c>
      <c r="U457" s="7" t="s">
        <v>269</v>
      </c>
    </row>
    <row r="458" spans="1:21" x14ac:dyDescent="0.25">
      <c r="A458" s="4">
        <v>1304085</v>
      </c>
      <c r="B458" s="5" t="s">
        <v>111</v>
      </c>
      <c r="C458" s="6">
        <v>44677</v>
      </c>
      <c r="D458" s="5" t="s">
        <v>357</v>
      </c>
      <c r="E458" s="5" t="s">
        <v>295</v>
      </c>
      <c r="F458" s="5" t="s">
        <v>278</v>
      </c>
      <c r="G458" s="5" t="s">
        <v>21</v>
      </c>
      <c r="H458" s="5" t="s">
        <v>295</v>
      </c>
      <c r="I458" s="5" t="s">
        <v>37</v>
      </c>
      <c r="J458" s="5" t="s">
        <v>24</v>
      </c>
      <c r="K458" s="5" t="s">
        <v>24</v>
      </c>
      <c r="L458" s="5" t="s">
        <v>26</v>
      </c>
      <c r="M458" s="5" t="s">
        <v>37</v>
      </c>
      <c r="N458" s="5" t="s">
        <v>27</v>
      </c>
      <c r="O458" s="5">
        <v>29</v>
      </c>
      <c r="P458" s="5">
        <v>145</v>
      </c>
      <c r="Q458" s="5">
        <v>20</v>
      </c>
      <c r="R458" s="5" t="s">
        <v>28</v>
      </c>
      <c r="S458" s="5" t="s">
        <v>29</v>
      </c>
      <c r="T458" s="5" t="s">
        <v>113</v>
      </c>
      <c r="U458" s="7" t="s">
        <v>186</v>
      </c>
    </row>
    <row r="459" spans="1:21" x14ac:dyDescent="0.25">
      <c r="A459" s="4">
        <v>1304086</v>
      </c>
      <c r="B459" s="5" t="s">
        <v>39</v>
      </c>
      <c r="C459" s="6">
        <v>44678</v>
      </c>
      <c r="D459" s="5" t="s">
        <v>357</v>
      </c>
      <c r="E459" s="5" t="s">
        <v>291</v>
      </c>
      <c r="F459" s="5" t="s">
        <v>253</v>
      </c>
      <c r="G459" s="5" t="s">
        <v>21</v>
      </c>
      <c r="H459" s="5" t="s">
        <v>291</v>
      </c>
      <c r="I459" s="5" t="s">
        <v>121</v>
      </c>
      <c r="J459" s="5" t="s">
        <v>277</v>
      </c>
      <c r="K459" s="5" t="s">
        <v>277</v>
      </c>
      <c r="L459" s="5" t="s">
        <v>26</v>
      </c>
      <c r="M459" s="5" t="s">
        <v>277</v>
      </c>
      <c r="N459" s="5" t="s">
        <v>38</v>
      </c>
      <c r="O459" s="5">
        <v>5</v>
      </c>
      <c r="P459" s="5">
        <v>196</v>
      </c>
      <c r="Q459" s="5">
        <v>20</v>
      </c>
      <c r="R459" s="5" t="s">
        <v>28</v>
      </c>
      <c r="S459" s="5" t="s">
        <v>29</v>
      </c>
      <c r="T459" s="5" t="s">
        <v>155</v>
      </c>
      <c r="U459" s="7" t="s">
        <v>259</v>
      </c>
    </row>
    <row r="460" spans="1:21" x14ac:dyDescent="0.25">
      <c r="A460" s="4">
        <v>1304087</v>
      </c>
      <c r="B460" s="5" t="s">
        <v>39</v>
      </c>
      <c r="C460" s="6">
        <v>44679</v>
      </c>
      <c r="D460" s="5" t="s">
        <v>357</v>
      </c>
      <c r="E460" s="5" t="s">
        <v>226</v>
      </c>
      <c r="F460" s="5" t="s">
        <v>253</v>
      </c>
      <c r="G460" s="5" t="s">
        <v>21</v>
      </c>
      <c r="H460" s="5" t="s">
        <v>226</v>
      </c>
      <c r="I460" s="5" t="s">
        <v>25</v>
      </c>
      <c r="J460" s="5" t="s">
        <v>229</v>
      </c>
      <c r="K460" s="5" t="s">
        <v>229</v>
      </c>
      <c r="L460" s="5" t="s">
        <v>26</v>
      </c>
      <c r="M460" s="5" t="s">
        <v>229</v>
      </c>
      <c r="N460" s="5" t="s">
        <v>38</v>
      </c>
      <c r="O460" s="5">
        <v>4</v>
      </c>
      <c r="P460" s="5">
        <v>147</v>
      </c>
      <c r="Q460" s="5">
        <v>20</v>
      </c>
      <c r="R460" s="5" t="s">
        <v>28</v>
      </c>
      <c r="S460" s="5" t="s">
        <v>29</v>
      </c>
      <c r="T460" s="5" t="s">
        <v>105</v>
      </c>
      <c r="U460" s="7" t="s">
        <v>151</v>
      </c>
    </row>
    <row r="461" spans="1:21" x14ac:dyDescent="0.25">
      <c r="A461" s="4">
        <v>1304088</v>
      </c>
      <c r="B461" s="5" t="s">
        <v>111</v>
      </c>
      <c r="C461" s="6">
        <v>44680</v>
      </c>
      <c r="D461" s="5" t="s">
        <v>357</v>
      </c>
      <c r="E461" s="5" t="s">
        <v>190</v>
      </c>
      <c r="F461" s="5" t="s">
        <v>278</v>
      </c>
      <c r="G461" s="5" t="s">
        <v>21</v>
      </c>
      <c r="H461" s="5" t="s">
        <v>190</v>
      </c>
      <c r="I461" s="5" t="s">
        <v>276</v>
      </c>
      <c r="J461" s="5" t="s">
        <v>254</v>
      </c>
      <c r="K461" s="5" t="s">
        <v>254</v>
      </c>
      <c r="L461" s="5" t="s">
        <v>26</v>
      </c>
      <c r="M461" s="5" t="s">
        <v>276</v>
      </c>
      <c r="N461" s="5" t="s">
        <v>27</v>
      </c>
      <c r="O461" s="5">
        <v>20</v>
      </c>
      <c r="P461" s="5">
        <v>154</v>
      </c>
      <c r="Q461" s="5">
        <v>20</v>
      </c>
      <c r="R461" s="5" t="s">
        <v>28</v>
      </c>
      <c r="S461" s="5" t="s">
        <v>29</v>
      </c>
      <c r="T461" s="5" t="s">
        <v>266</v>
      </c>
      <c r="U461" s="7" t="s">
        <v>237</v>
      </c>
    </row>
    <row r="462" spans="1:21" x14ac:dyDescent="0.25">
      <c r="A462" s="4">
        <v>1304089</v>
      </c>
      <c r="B462" s="5" t="s">
        <v>39</v>
      </c>
      <c r="C462" s="6">
        <v>44681</v>
      </c>
      <c r="D462" s="5" t="s">
        <v>357</v>
      </c>
      <c r="E462" s="5" t="s">
        <v>246</v>
      </c>
      <c r="F462" s="5" t="s">
        <v>80</v>
      </c>
      <c r="G462" s="5" t="s">
        <v>21</v>
      </c>
      <c r="H462" s="5" t="s">
        <v>246</v>
      </c>
      <c r="I462" s="5" t="s">
        <v>24</v>
      </c>
      <c r="J462" s="5" t="s">
        <v>277</v>
      </c>
      <c r="K462" s="5" t="s">
        <v>24</v>
      </c>
      <c r="L462" s="5" t="s">
        <v>34</v>
      </c>
      <c r="M462" s="5" t="s">
        <v>277</v>
      </c>
      <c r="N462" s="5" t="s">
        <v>38</v>
      </c>
      <c r="O462" s="5">
        <v>6</v>
      </c>
      <c r="P462" s="5">
        <v>171</v>
      </c>
      <c r="Q462" s="5">
        <v>20</v>
      </c>
      <c r="R462" s="5" t="s">
        <v>28</v>
      </c>
      <c r="S462" s="5" t="s">
        <v>29</v>
      </c>
      <c r="T462" s="5" t="s">
        <v>270</v>
      </c>
      <c r="U462" s="7" t="s">
        <v>173</v>
      </c>
    </row>
    <row r="463" spans="1:21" x14ac:dyDescent="0.25">
      <c r="A463" s="4">
        <v>1304090</v>
      </c>
      <c r="B463" s="5" t="s">
        <v>292</v>
      </c>
      <c r="C463" s="6">
        <v>44681</v>
      </c>
      <c r="D463" s="5" t="s">
        <v>357</v>
      </c>
      <c r="E463" s="5" t="s">
        <v>181</v>
      </c>
      <c r="F463" s="5" t="s">
        <v>275</v>
      </c>
      <c r="G463" s="5" t="s">
        <v>21</v>
      </c>
      <c r="H463" s="5" t="s">
        <v>181</v>
      </c>
      <c r="I463" s="5" t="s">
        <v>37</v>
      </c>
      <c r="J463" s="5" t="s">
        <v>41</v>
      </c>
      <c r="K463" s="5" t="s">
        <v>41</v>
      </c>
      <c r="L463" s="5" t="s">
        <v>26</v>
      </c>
      <c r="M463" s="5" t="s">
        <v>41</v>
      </c>
      <c r="N463" s="5" t="s">
        <v>38</v>
      </c>
      <c r="O463" s="5">
        <v>5</v>
      </c>
      <c r="P463" s="5">
        <v>159</v>
      </c>
      <c r="Q463" s="5">
        <v>20</v>
      </c>
      <c r="R463" s="5" t="s">
        <v>28</v>
      </c>
      <c r="S463" s="5" t="s">
        <v>29</v>
      </c>
      <c r="T463" s="5" t="s">
        <v>113</v>
      </c>
      <c r="U463" s="7" t="s">
        <v>202</v>
      </c>
    </row>
    <row r="464" spans="1:21" x14ac:dyDescent="0.25">
      <c r="A464" s="4">
        <v>1304091</v>
      </c>
      <c r="B464" s="5" t="s">
        <v>39</v>
      </c>
      <c r="C464" s="6">
        <v>44682</v>
      </c>
      <c r="D464" s="5" t="s">
        <v>357</v>
      </c>
      <c r="E464" s="5" t="s">
        <v>296</v>
      </c>
      <c r="F464" s="5" t="s">
        <v>253</v>
      </c>
      <c r="G464" s="5" t="s">
        <v>21</v>
      </c>
      <c r="H464" s="5" t="s">
        <v>296</v>
      </c>
      <c r="I464" s="5" t="s">
        <v>276</v>
      </c>
      <c r="J464" s="5" t="s">
        <v>229</v>
      </c>
      <c r="K464" s="5" t="s">
        <v>276</v>
      </c>
      <c r="L464" s="5" t="s">
        <v>34</v>
      </c>
      <c r="M464" s="5" t="s">
        <v>276</v>
      </c>
      <c r="N464" s="5" t="s">
        <v>27</v>
      </c>
      <c r="O464" s="5">
        <v>6</v>
      </c>
      <c r="P464" s="5">
        <v>196</v>
      </c>
      <c r="Q464" s="5">
        <v>20</v>
      </c>
      <c r="R464" s="5" t="s">
        <v>28</v>
      </c>
      <c r="S464" s="5" t="s">
        <v>29</v>
      </c>
      <c r="T464" s="5" t="s">
        <v>285</v>
      </c>
      <c r="U464" s="7" t="s">
        <v>155</v>
      </c>
    </row>
    <row r="465" spans="1:21" x14ac:dyDescent="0.25">
      <c r="A465" s="4">
        <v>1304092</v>
      </c>
      <c r="B465" s="5" t="s">
        <v>111</v>
      </c>
      <c r="C465" s="6">
        <v>44682</v>
      </c>
      <c r="D465" s="5" t="s">
        <v>357</v>
      </c>
      <c r="E465" s="5" t="s">
        <v>250</v>
      </c>
      <c r="F465" s="5" t="s">
        <v>278</v>
      </c>
      <c r="G465" s="5" t="s">
        <v>21</v>
      </c>
      <c r="H465" s="5" t="s">
        <v>250</v>
      </c>
      <c r="I465" s="5" t="s">
        <v>33</v>
      </c>
      <c r="J465" s="5" t="s">
        <v>121</v>
      </c>
      <c r="K465" s="5" t="s">
        <v>121</v>
      </c>
      <c r="L465" s="5" t="s">
        <v>26</v>
      </c>
      <c r="M465" s="5" t="s">
        <v>33</v>
      </c>
      <c r="N465" s="5" t="s">
        <v>27</v>
      </c>
      <c r="O465" s="5">
        <v>13</v>
      </c>
      <c r="P465" s="5">
        <v>203</v>
      </c>
      <c r="Q465" s="5">
        <v>20</v>
      </c>
      <c r="R465" s="5" t="s">
        <v>28</v>
      </c>
      <c r="S465" s="5" t="s">
        <v>29</v>
      </c>
      <c r="T465" s="5" t="s">
        <v>105</v>
      </c>
      <c r="U465" s="7" t="s">
        <v>186</v>
      </c>
    </row>
    <row r="466" spans="1:21" x14ac:dyDescent="0.25">
      <c r="A466" s="4">
        <v>1304093</v>
      </c>
      <c r="B466" s="5" t="s">
        <v>39</v>
      </c>
      <c r="C466" s="6">
        <v>44683</v>
      </c>
      <c r="D466" s="5" t="s">
        <v>357</v>
      </c>
      <c r="E466" s="5" t="s">
        <v>297</v>
      </c>
      <c r="F466" s="5" t="s">
        <v>253</v>
      </c>
      <c r="G466" s="5" t="s">
        <v>21</v>
      </c>
      <c r="H466" s="5" t="s">
        <v>297</v>
      </c>
      <c r="I466" s="5" t="s">
        <v>37</v>
      </c>
      <c r="J466" s="5" t="s">
        <v>25</v>
      </c>
      <c r="K466" s="5" t="s">
        <v>25</v>
      </c>
      <c r="L466" s="5" t="s">
        <v>26</v>
      </c>
      <c r="M466" s="5" t="s">
        <v>25</v>
      </c>
      <c r="N466" s="5" t="s">
        <v>38</v>
      </c>
      <c r="O466" s="5">
        <v>7</v>
      </c>
      <c r="P466" s="5">
        <v>153</v>
      </c>
      <c r="Q466" s="5">
        <v>20</v>
      </c>
      <c r="R466" s="5" t="s">
        <v>28</v>
      </c>
      <c r="S466" s="5" t="s">
        <v>29</v>
      </c>
      <c r="T466" s="5" t="s">
        <v>258</v>
      </c>
      <c r="U466" s="7" t="s">
        <v>287</v>
      </c>
    </row>
    <row r="467" spans="1:21" x14ac:dyDescent="0.25">
      <c r="A467" s="4">
        <v>1304094</v>
      </c>
      <c r="B467" s="5" t="s">
        <v>292</v>
      </c>
      <c r="C467" s="6">
        <v>44684</v>
      </c>
      <c r="D467" s="5" t="s">
        <v>357</v>
      </c>
      <c r="E467" s="5" t="s">
        <v>234</v>
      </c>
      <c r="F467" s="5" t="s">
        <v>275</v>
      </c>
      <c r="G467" s="5" t="s">
        <v>21</v>
      </c>
      <c r="H467" s="5" t="s">
        <v>234</v>
      </c>
      <c r="I467" s="5" t="s">
        <v>277</v>
      </c>
      <c r="J467" s="5" t="s">
        <v>254</v>
      </c>
      <c r="K467" s="5" t="s">
        <v>277</v>
      </c>
      <c r="L467" s="5" t="s">
        <v>34</v>
      </c>
      <c r="M467" s="5" t="s">
        <v>254</v>
      </c>
      <c r="N467" s="5" t="s">
        <v>38</v>
      </c>
      <c r="O467" s="5">
        <v>8</v>
      </c>
      <c r="P467" s="5">
        <v>144</v>
      </c>
      <c r="Q467" s="5">
        <v>20</v>
      </c>
      <c r="R467" s="5" t="s">
        <v>28</v>
      </c>
      <c r="S467" s="5" t="s">
        <v>29</v>
      </c>
      <c r="T467" s="5" t="s">
        <v>288</v>
      </c>
      <c r="U467" s="7" t="s">
        <v>173</v>
      </c>
    </row>
    <row r="468" spans="1:21" x14ac:dyDescent="0.25">
      <c r="A468" s="4">
        <v>1304095</v>
      </c>
      <c r="B468" s="5" t="s">
        <v>111</v>
      </c>
      <c r="C468" s="6">
        <v>44685</v>
      </c>
      <c r="D468" s="5" t="s">
        <v>357</v>
      </c>
      <c r="E468" s="5" t="s">
        <v>210</v>
      </c>
      <c r="F468" s="5" t="s">
        <v>278</v>
      </c>
      <c r="G468" s="5" t="s">
        <v>21</v>
      </c>
      <c r="H468" s="5" t="s">
        <v>210</v>
      </c>
      <c r="I468" s="5" t="s">
        <v>24</v>
      </c>
      <c r="J468" s="5" t="s">
        <v>33</v>
      </c>
      <c r="K468" s="5" t="s">
        <v>33</v>
      </c>
      <c r="L468" s="5" t="s">
        <v>26</v>
      </c>
      <c r="M468" s="5" t="s">
        <v>24</v>
      </c>
      <c r="N468" s="5" t="s">
        <v>27</v>
      </c>
      <c r="O468" s="5">
        <v>13</v>
      </c>
      <c r="P468" s="5">
        <v>174</v>
      </c>
      <c r="Q468" s="5">
        <v>20</v>
      </c>
      <c r="R468" s="5" t="s">
        <v>28</v>
      </c>
      <c r="S468" s="5" t="s">
        <v>29</v>
      </c>
      <c r="T468" s="5" t="s">
        <v>186</v>
      </c>
      <c r="U468" s="7" t="s">
        <v>266</v>
      </c>
    </row>
    <row r="469" spans="1:21" x14ac:dyDescent="0.25">
      <c r="A469" s="4">
        <v>1304096</v>
      </c>
      <c r="B469" s="5" t="s">
        <v>39</v>
      </c>
      <c r="C469" s="6">
        <v>44686</v>
      </c>
      <c r="D469" s="5" t="s">
        <v>357</v>
      </c>
      <c r="E469" s="5" t="s">
        <v>82</v>
      </c>
      <c r="F469" s="5" t="s">
        <v>80</v>
      </c>
      <c r="G469" s="5" t="s">
        <v>21</v>
      </c>
      <c r="H469" s="5" t="s">
        <v>82</v>
      </c>
      <c r="I469" s="5" t="s">
        <v>229</v>
      </c>
      <c r="J469" s="5" t="s">
        <v>121</v>
      </c>
      <c r="K469" s="5" t="s">
        <v>121</v>
      </c>
      <c r="L469" s="5" t="s">
        <v>26</v>
      </c>
      <c r="M469" s="5" t="s">
        <v>229</v>
      </c>
      <c r="N469" s="5" t="s">
        <v>27</v>
      </c>
      <c r="O469" s="5">
        <v>21</v>
      </c>
      <c r="P469" s="5">
        <v>208</v>
      </c>
      <c r="Q469" s="5">
        <v>20</v>
      </c>
      <c r="R469" s="5" t="s">
        <v>28</v>
      </c>
      <c r="S469" s="5" t="s">
        <v>29</v>
      </c>
      <c r="T469" s="5" t="s">
        <v>259</v>
      </c>
      <c r="U469" s="7" t="s">
        <v>290</v>
      </c>
    </row>
    <row r="470" spans="1:21" x14ac:dyDescent="0.25">
      <c r="A470" s="4">
        <v>1304097</v>
      </c>
      <c r="B470" s="5" t="s">
        <v>39</v>
      </c>
      <c r="C470" s="6">
        <v>44687</v>
      </c>
      <c r="D470" s="5" t="s">
        <v>357</v>
      </c>
      <c r="E470" s="5" t="s">
        <v>298</v>
      </c>
      <c r="F470" s="5" t="s">
        <v>80</v>
      </c>
      <c r="G470" s="5" t="s">
        <v>21</v>
      </c>
      <c r="H470" s="5" t="s">
        <v>298</v>
      </c>
      <c r="I470" s="5" t="s">
        <v>41</v>
      </c>
      <c r="J470" s="5" t="s">
        <v>277</v>
      </c>
      <c r="K470" s="5" t="s">
        <v>277</v>
      </c>
      <c r="L470" s="5" t="s">
        <v>26</v>
      </c>
      <c r="M470" s="5" t="s">
        <v>41</v>
      </c>
      <c r="N470" s="5" t="s">
        <v>27</v>
      </c>
      <c r="O470" s="5">
        <v>5</v>
      </c>
      <c r="P470" s="5">
        <v>178</v>
      </c>
      <c r="Q470" s="5">
        <v>20</v>
      </c>
      <c r="R470" s="5" t="s">
        <v>28</v>
      </c>
      <c r="S470" s="5" t="s">
        <v>29</v>
      </c>
      <c r="T470" s="5" t="s">
        <v>258</v>
      </c>
      <c r="U470" s="7" t="s">
        <v>289</v>
      </c>
    </row>
    <row r="471" spans="1:21" x14ac:dyDescent="0.25">
      <c r="A471" s="4">
        <v>1304098</v>
      </c>
      <c r="B471" s="5" t="s">
        <v>39</v>
      </c>
      <c r="C471" s="6">
        <v>44688</v>
      </c>
      <c r="D471" s="5" t="s">
        <v>357</v>
      </c>
      <c r="E471" s="5" t="s">
        <v>299</v>
      </c>
      <c r="F471" s="5" t="s">
        <v>253</v>
      </c>
      <c r="G471" s="5" t="s">
        <v>21</v>
      </c>
      <c r="H471" s="5" t="s">
        <v>299</v>
      </c>
      <c r="I471" s="5" t="s">
        <v>254</v>
      </c>
      <c r="J471" s="5" t="s">
        <v>37</v>
      </c>
      <c r="K471" s="5" t="s">
        <v>254</v>
      </c>
      <c r="L471" s="5" t="s">
        <v>34</v>
      </c>
      <c r="M471" s="5" t="s">
        <v>37</v>
      </c>
      <c r="N471" s="5" t="s">
        <v>38</v>
      </c>
      <c r="O471" s="5">
        <v>6</v>
      </c>
      <c r="P471" s="5">
        <v>190</v>
      </c>
      <c r="Q471" s="5">
        <v>20</v>
      </c>
      <c r="R471" s="5" t="s">
        <v>28</v>
      </c>
      <c r="S471" s="5" t="s">
        <v>29</v>
      </c>
      <c r="T471" s="5" t="s">
        <v>285</v>
      </c>
      <c r="U471" s="7" t="s">
        <v>202</v>
      </c>
    </row>
    <row r="472" spans="1:21" x14ac:dyDescent="0.25">
      <c r="A472" s="4">
        <v>1304099</v>
      </c>
      <c r="B472" s="5" t="s">
        <v>111</v>
      </c>
      <c r="C472" s="6">
        <v>44688</v>
      </c>
      <c r="D472" s="5" t="s">
        <v>357</v>
      </c>
      <c r="E472" s="5" t="s">
        <v>282</v>
      </c>
      <c r="F472" s="5" t="s">
        <v>278</v>
      </c>
      <c r="G472" s="5" t="s">
        <v>21</v>
      </c>
      <c r="H472" s="5" t="s">
        <v>282</v>
      </c>
      <c r="I472" s="5" t="s">
        <v>276</v>
      </c>
      <c r="J472" s="5" t="s">
        <v>25</v>
      </c>
      <c r="K472" s="5" t="s">
        <v>25</v>
      </c>
      <c r="L472" s="5" t="s">
        <v>26</v>
      </c>
      <c r="M472" s="5" t="s">
        <v>276</v>
      </c>
      <c r="N472" s="5" t="s">
        <v>27</v>
      </c>
      <c r="O472" s="5">
        <v>75</v>
      </c>
      <c r="P472" s="5">
        <v>177</v>
      </c>
      <c r="Q472" s="5">
        <v>20</v>
      </c>
      <c r="R472" s="5" t="s">
        <v>28</v>
      </c>
      <c r="S472" s="5" t="s">
        <v>29</v>
      </c>
      <c r="T472" s="5" t="s">
        <v>105</v>
      </c>
      <c r="U472" s="7" t="s">
        <v>266</v>
      </c>
    </row>
    <row r="473" spans="1:21" x14ac:dyDescent="0.25">
      <c r="A473" s="4">
        <v>1304100</v>
      </c>
      <c r="B473" s="5" t="s">
        <v>39</v>
      </c>
      <c r="C473" s="6">
        <v>44689</v>
      </c>
      <c r="D473" s="5" t="s">
        <v>357</v>
      </c>
      <c r="E473" s="5" t="s">
        <v>279</v>
      </c>
      <c r="F473" s="5" t="s">
        <v>253</v>
      </c>
      <c r="G473" s="5" t="s">
        <v>21</v>
      </c>
      <c r="H473" s="5" t="s">
        <v>279</v>
      </c>
      <c r="I473" s="5" t="s">
        <v>24</v>
      </c>
      <c r="J473" s="5" t="s">
        <v>121</v>
      </c>
      <c r="K473" s="5" t="s">
        <v>24</v>
      </c>
      <c r="L473" s="5" t="s">
        <v>34</v>
      </c>
      <c r="M473" s="5" t="s">
        <v>24</v>
      </c>
      <c r="N473" s="5" t="s">
        <v>27</v>
      </c>
      <c r="O473" s="5">
        <v>67</v>
      </c>
      <c r="P473" s="5">
        <v>193</v>
      </c>
      <c r="Q473" s="5">
        <v>20</v>
      </c>
      <c r="R473" s="5" t="s">
        <v>28</v>
      </c>
      <c r="S473" s="5" t="s">
        <v>29</v>
      </c>
      <c r="T473" s="5" t="s">
        <v>113</v>
      </c>
      <c r="U473" s="7" t="s">
        <v>287</v>
      </c>
    </row>
    <row r="474" spans="1:21" x14ac:dyDescent="0.25">
      <c r="A474" s="4">
        <v>1304101</v>
      </c>
      <c r="B474" s="5" t="s">
        <v>292</v>
      </c>
      <c r="C474" s="6">
        <v>44689</v>
      </c>
      <c r="D474" s="5" t="s">
        <v>357</v>
      </c>
      <c r="E474" s="5" t="s">
        <v>300</v>
      </c>
      <c r="F474" s="5" t="s">
        <v>275</v>
      </c>
      <c r="G474" s="5" t="s">
        <v>21</v>
      </c>
      <c r="H474" s="5" t="s">
        <v>300</v>
      </c>
      <c r="I474" s="5" t="s">
        <v>33</v>
      </c>
      <c r="J474" s="5" t="s">
        <v>229</v>
      </c>
      <c r="K474" s="5" t="s">
        <v>229</v>
      </c>
      <c r="L474" s="5" t="s">
        <v>26</v>
      </c>
      <c r="M474" s="5" t="s">
        <v>33</v>
      </c>
      <c r="N474" s="5" t="s">
        <v>27</v>
      </c>
      <c r="O474" s="5">
        <v>91</v>
      </c>
      <c r="P474" s="5">
        <v>209</v>
      </c>
      <c r="Q474" s="5">
        <v>20</v>
      </c>
      <c r="R474" s="5" t="s">
        <v>28</v>
      </c>
      <c r="S474" s="5" t="s">
        <v>29</v>
      </c>
      <c r="T474" s="5" t="s">
        <v>174</v>
      </c>
      <c r="U474" s="7" t="s">
        <v>288</v>
      </c>
    </row>
    <row r="475" spans="1:21" x14ac:dyDescent="0.25">
      <c r="A475" s="4">
        <v>1304102</v>
      </c>
      <c r="B475" s="5" t="s">
        <v>292</v>
      </c>
      <c r="C475" s="6">
        <v>44690</v>
      </c>
      <c r="D475" s="5" t="s">
        <v>357</v>
      </c>
      <c r="E475" s="5" t="s">
        <v>200</v>
      </c>
      <c r="F475" s="5" t="s">
        <v>275</v>
      </c>
      <c r="G475" s="5" t="s">
        <v>21</v>
      </c>
      <c r="H475" s="5" t="s">
        <v>200</v>
      </c>
      <c r="I475" s="5" t="s">
        <v>25</v>
      </c>
      <c r="J475" s="5" t="s">
        <v>41</v>
      </c>
      <c r="K475" s="5" t="s">
        <v>41</v>
      </c>
      <c r="L475" s="5" t="s">
        <v>26</v>
      </c>
      <c r="M475" s="5" t="s">
        <v>25</v>
      </c>
      <c r="N475" s="5" t="s">
        <v>27</v>
      </c>
      <c r="O475" s="5">
        <v>52</v>
      </c>
      <c r="P475" s="5">
        <v>166</v>
      </c>
      <c r="Q475" s="5">
        <v>20</v>
      </c>
      <c r="R475" s="5" t="s">
        <v>28</v>
      </c>
      <c r="S475" s="5" t="s">
        <v>29</v>
      </c>
      <c r="T475" s="5" t="s">
        <v>155</v>
      </c>
      <c r="U475" s="7" t="s">
        <v>289</v>
      </c>
    </row>
    <row r="476" spans="1:21" x14ac:dyDescent="0.25">
      <c r="A476" s="4">
        <v>1304103</v>
      </c>
      <c r="B476" s="5" t="s">
        <v>111</v>
      </c>
      <c r="C476" s="6">
        <v>44691</v>
      </c>
      <c r="D476" s="5" t="s">
        <v>357</v>
      </c>
      <c r="E476" s="5" t="s">
        <v>242</v>
      </c>
      <c r="F476" s="5" t="s">
        <v>278</v>
      </c>
      <c r="G476" s="5" t="s">
        <v>21</v>
      </c>
      <c r="H476" s="5" t="s">
        <v>242</v>
      </c>
      <c r="I476" s="5" t="s">
        <v>277</v>
      </c>
      <c r="J476" s="5" t="s">
        <v>276</v>
      </c>
      <c r="K476" s="5" t="s">
        <v>277</v>
      </c>
      <c r="L476" s="5" t="s">
        <v>34</v>
      </c>
      <c r="M476" s="5" t="s">
        <v>277</v>
      </c>
      <c r="N476" s="5" t="s">
        <v>27</v>
      </c>
      <c r="O476" s="5">
        <v>62</v>
      </c>
      <c r="P476" s="5">
        <v>145</v>
      </c>
      <c r="Q476" s="5">
        <v>20</v>
      </c>
      <c r="R476" s="5" t="s">
        <v>28</v>
      </c>
      <c r="S476" s="5" t="s">
        <v>29</v>
      </c>
      <c r="T476" s="5" t="s">
        <v>186</v>
      </c>
      <c r="U476" s="7" t="s">
        <v>266</v>
      </c>
    </row>
    <row r="477" spans="1:21" x14ac:dyDescent="0.25">
      <c r="A477" s="4">
        <v>1304104</v>
      </c>
      <c r="B477" s="5" t="s">
        <v>292</v>
      </c>
      <c r="C477" s="6">
        <v>44692</v>
      </c>
      <c r="D477" s="5" t="s">
        <v>357</v>
      </c>
      <c r="E477" s="5" t="s">
        <v>94</v>
      </c>
      <c r="F477" s="5" t="s">
        <v>275</v>
      </c>
      <c r="G477" s="5" t="s">
        <v>21</v>
      </c>
      <c r="H477" s="5" t="s">
        <v>94</v>
      </c>
      <c r="I477" s="5" t="s">
        <v>37</v>
      </c>
      <c r="J477" s="5" t="s">
        <v>229</v>
      </c>
      <c r="K477" s="5" t="s">
        <v>229</v>
      </c>
      <c r="L477" s="5" t="s">
        <v>26</v>
      </c>
      <c r="M477" s="5" t="s">
        <v>229</v>
      </c>
      <c r="N477" s="5" t="s">
        <v>38</v>
      </c>
      <c r="O477" s="5">
        <v>8</v>
      </c>
      <c r="P477" s="5">
        <v>161</v>
      </c>
      <c r="Q477" s="5">
        <v>20</v>
      </c>
      <c r="R477" s="5" t="s">
        <v>28</v>
      </c>
      <c r="S477" s="5" t="s">
        <v>29</v>
      </c>
      <c r="T477" s="5" t="s">
        <v>290</v>
      </c>
      <c r="U477" s="7" t="s">
        <v>174</v>
      </c>
    </row>
    <row r="478" spans="1:21" x14ac:dyDescent="0.25">
      <c r="A478" s="4">
        <v>1304105</v>
      </c>
      <c r="B478" s="5" t="s">
        <v>39</v>
      </c>
      <c r="C478" s="6">
        <v>44693</v>
      </c>
      <c r="D478" s="5" t="s">
        <v>357</v>
      </c>
      <c r="E478" s="5" t="s">
        <v>301</v>
      </c>
      <c r="F478" s="5" t="s">
        <v>253</v>
      </c>
      <c r="G478" s="5" t="s">
        <v>21</v>
      </c>
      <c r="H478" s="5" t="s">
        <v>301</v>
      </c>
      <c r="I478" s="5" t="s">
        <v>33</v>
      </c>
      <c r="J478" s="5" t="s">
        <v>41</v>
      </c>
      <c r="K478" s="5" t="s">
        <v>41</v>
      </c>
      <c r="L478" s="5" t="s">
        <v>26</v>
      </c>
      <c r="M478" s="5" t="s">
        <v>41</v>
      </c>
      <c r="N478" s="5" t="s">
        <v>38</v>
      </c>
      <c r="O478" s="5">
        <v>5</v>
      </c>
      <c r="P478" s="5">
        <v>98</v>
      </c>
      <c r="Q478" s="5">
        <v>20</v>
      </c>
      <c r="R478" s="5" t="s">
        <v>28</v>
      </c>
      <c r="S478" s="5" t="s">
        <v>29</v>
      </c>
      <c r="T478" s="5" t="s">
        <v>285</v>
      </c>
      <c r="U478" s="7" t="s">
        <v>155</v>
      </c>
    </row>
    <row r="479" spans="1:21" x14ac:dyDescent="0.25">
      <c r="A479" s="4">
        <v>1304106</v>
      </c>
      <c r="B479" s="5" t="s">
        <v>39</v>
      </c>
      <c r="C479" s="6">
        <v>44694</v>
      </c>
      <c r="D479" s="5" t="s">
        <v>357</v>
      </c>
      <c r="E479" s="5" t="s">
        <v>231</v>
      </c>
      <c r="F479" s="5" t="s">
        <v>80</v>
      </c>
      <c r="G479" s="5" t="s">
        <v>21</v>
      </c>
      <c r="H479" s="5" t="s">
        <v>231</v>
      </c>
      <c r="I479" s="5" t="s">
        <v>254</v>
      </c>
      <c r="J479" s="5" t="s">
        <v>24</v>
      </c>
      <c r="K479" s="5" t="s">
        <v>24</v>
      </c>
      <c r="L479" s="5" t="s">
        <v>26</v>
      </c>
      <c r="M479" s="5" t="s">
        <v>254</v>
      </c>
      <c r="N479" s="5" t="s">
        <v>27</v>
      </c>
      <c r="O479" s="5">
        <v>54</v>
      </c>
      <c r="P479" s="5">
        <v>210</v>
      </c>
      <c r="Q479" s="5">
        <v>20</v>
      </c>
      <c r="R479" s="5" t="s">
        <v>28</v>
      </c>
      <c r="S479" s="5" t="s">
        <v>29</v>
      </c>
      <c r="T479" s="5" t="s">
        <v>258</v>
      </c>
      <c r="U479" s="7" t="s">
        <v>287</v>
      </c>
    </row>
    <row r="480" spans="1:21" x14ac:dyDescent="0.25">
      <c r="A480" s="4">
        <v>1304107</v>
      </c>
      <c r="B480" s="5" t="s">
        <v>111</v>
      </c>
      <c r="C480" s="6">
        <v>44695</v>
      </c>
      <c r="D480" s="5" t="s">
        <v>357</v>
      </c>
      <c r="E480" s="5" t="s">
        <v>160</v>
      </c>
      <c r="F480" s="5" t="s">
        <v>278</v>
      </c>
      <c r="G480" s="5" t="s">
        <v>21</v>
      </c>
      <c r="H480" s="5" t="s">
        <v>160</v>
      </c>
      <c r="I480" s="5" t="s">
        <v>25</v>
      </c>
      <c r="J480" s="5" t="s">
        <v>121</v>
      </c>
      <c r="K480" s="5" t="s">
        <v>25</v>
      </c>
      <c r="L480" s="5" t="s">
        <v>34</v>
      </c>
      <c r="M480" s="5" t="s">
        <v>25</v>
      </c>
      <c r="N480" s="5" t="s">
        <v>27</v>
      </c>
      <c r="O480" s="5">
        <v>54</v>
      </c>
      <c r="P480" s="5">
        <v>178</v>
      </c>
      <c r="Q480" s="5">
        <v>20</v>
      </c>
      <c r="R480" s="5" t="s">
        <v>28</v>
      </c>
      <c r="S480" s="5" t="s">
        <v>29</v>
      </c>
      <c r="T480" s="5" t="s">
        <v>105</v>
      </c>
      <c r="U480" s="7" t="s">
        <v>186</v>
      </c>
    </row>
    <row r="481" spans="1:21" x14ac:dyDescent="0.25">
      <c r="A481" s="4">
        <v>1304108</v>
      </c>
      <c r="B481" s="5" t="s">
        <v>39</v>
      </c>
      <c r="C481" s="6">
        <v>44696</v>
      </c>
      <c r="D481" s="5" t="s">
        <v>357</v>
      </c>
      <c r="E481" s="5" t="s">
        <v>97</v>
      </c>
      <c r="F481" s="5" t="s">
        <v>253</v>
      </c>
      <c r="G481" s="5" t="s">
        <v>21</v>
      </c>
      <c r="H481" s="5" t="s">
        <v>97</v>
      </c>
      <c r="I481" s="5" t="s">
        <v>33</v>
      </c>
      <c r="J481" s="5" t="s">
        <v>277</v>
      </c>
      <c r="K481" s="5" t="s">
        <v>33</v>
      </c>
      <c r="L481" s="5" t="s">
        <v>34</v>
      </c>
      <c r="M481" s="5" t="s">
        <v>277</v>
      </c>
      <c r="N481" s="5" t="s">
        <v>38</v>
      </c>
      <c r="O481" s="5">
        <v>7</v>
      </c>
      <c r="P481" s="5">
        <v>134</v>
      </c>
      <c r="Q481" s="5">
        <v>20</v>
      </c>
      <c r="R481" s="5" t="s">
        <v>28</v>
      </c>
      <c r="S481" s="5" t="s">
        <v>29</v>
      </c>
      <c r="T481" s="5" t="s">
        <v>288</v>
      </c>
      <c r="U481" s="7" t="s">
        <v>173</v>
      </c>
    </row>
    <row r="482" spans="1:21" x14ac:dyDescent="0.25">
      <c r="A482" s="4">
        <v>1304109</v>
      </c>
      <c r="B482" s="5" t="s">
        <v>39</v>
      </c>
      <c r="C482" s="6">
        <v>44696</v>
      </c>
      <c r="D482" s="5" t="s">
        <v>357</v>
      </c>
      <c r="E482" s="5" t="s">
        <v>164</v>
      </c>
      <c r="F482" s="5" t="s">
        <v>80</v>
      </c>
      <c r="G482" s="5" t="s">
        <v>21</v>
      </c>
      <c r="H482" s="5" t="s">
        <v>164</v>
      </c>
      <c r="I482" s="5" t="s">
        <v>37</v>
      </c>
      <c r="J482" s="5" t="s">
        <v>276</v>
      </c>
      <c r="K482" s="5" t="s">
        <v>37</v>
      </c>
      <c r="L482" s="5" t="s">
        <v>34</v>
      </c>
      <c r="M482" s="5" t="s">
        <v>37</v>
      </c>
      <c r="N482" s="5" t="s">
        <v>27</v>
      </c>
      <c r="O482" s="5">
        <v>24</v>
      </c>
      <c r="P482" s="5">
        <v>179</v>
      </c>
      <c r="Q482" s="5">
        <v>20</v>
      </c>
      <c r="R482" s="5" t="s">
        <v>28</v>
      </c>
      <c r="S482" s="5" t="s">
        <v>29</v>
      </c>
      <c r="T482" s="5" t="s">
        <v>151</v>
      </c>
      <c r="U482" s="7" t="s">
        <v>269</v>
      </c>
    </row>
    <row r="483" spans="1:21" x14ac:dyDescent="0.25">
      <c r="A483" s="4">
        <v>1304110</v>
      </c>
      <c r="B483" s="5" t="s">
        <v>292</v>
      </c>
      <c r="C483" s="6">
        <v>44697</v>
      </c>
      <c r="D483" s="5" t="s">
        <v>357</v>
      </c>
      <c r="E483" s="5" t="s">
        <v>302</v>
      </c>
      <c r="F483" s="5" t="s">
        <v>275</v>
      </c>
      <c r="G483" s="5" t="s">
        <v>21</v>
      </c>
      <c r="H483" s="5" t="s">
        <v>302</v>
      </c>
      <c r="I483" s="5" t="s">
        <v>229</v>
      </c>
      <c r="J483" s="5" t="s">
        <v>254</v>
      </c>
      <c r="K483" s="5" t="s">
        <v>254</v>
      </c>
      <c r="L483" s="5" t="s">
        <v>26</v>
      </c>
      <c r="M483" s="5" t="s">
        <v>229</v>
      </c>
      <c r="N483" s="5" t="s">
        <v>27</v>
      </c>
      <c r="O483" s="5">
        <v>17</v>
      </c>
      <c r="P483" s="5">
        <v>160</v>
      </c>
      <c r="Q483" s="5">
        <v>20</v>
      </c>
      <c r="R483" s="5" t="s">
        <v>28</v>
      </c>
      <c r="S483" s="5" t="s">
        <v>29</v>
      </c>
      <c r="T483" s="5" t="s">
        <v>289</v>
      </c>
      <c r="U483" s="7" t="s">
        <v>174</v>
      </c>
    </row>
    <row r="484" spans="1:21" x14ac:dyDescent="0.25">
      <c r="A484" s="4">
        <v>1304111</v>
      </c>
      <c r="B484" s="5" t="s">
        <v>39</v>
      </c>
      <c r="C484" s="6">
        <v>44698</v>
      </c>
      <c r="D484" s="5" t="s">
        <v>357</v>
      </c>
      <c r="E484" s="5" t="s">
        <v>208</v>
      </c>
      <c r="F484" s="5" t="s">
        <v>253</v>
      </c>
      <c r="G484" s="5" t="s">
        <v>21</v>
      </c>
      <c r="H484" s="5" t="s">
        <v>208</v>
      </c>
      <c r="I484" s="5" t="s">
        <v>121</v>
      </c>
      <c r="J484" s="5" t="s">
        <v>41</v>
      </c>
      <c r="K484" s="5" t="s">
        <v>41</v>
      </c>
      <c r="L484" s="5" t="s">
        <v>26</v>
      </c>
      <c r="M484" s="5" t="s">
        <v>121</v>
      </c>
      <c r="N484" s="5" t="s">
        <v>27</v>
      </c>
      <c r="O484" s="5">
        <v>3</v>
      </c>
      <c r="P484" s="5">
        <v>194</v>
      </c>
      <c r="Q484" s="5">
        <v>20</v>
      </c>
      <c r="R484" s="5" t="s">
        <v>28</v>
      </c>
      <c r="S484" s="5" t="s">
        <v>29</v>
      </c>
      <c r="T484" s="5" t="s">
        <v>155</v>
      </c>
      <c r="U484" s="7" t="s">
        <v>287</v>
      </c>
    </row>
    <row r="485" spans="1:21" x14ac:dyDescent="0.25">
      <c r="A485" s="4">
        <v>1304112</v>
      </c>
      <c r="B485" s="5" t="s">
        <v>292</v>
      </c>
      <c r="C485" s="6">
        <v>44699</v>
      </c>
      <c r="D485" s="5" t="s">
        <v>357</v>
      </c>
      <c r="E485" s="5" t="s">
        <v>177</v>
      </c>
      <c r="F485" s="5" t="s">
        <v>275</v>
      </c>
      <c r="G485" s="5" t="s">
        <v>21</v>
      </c>
      <c r="H485" s="5" t="s">
        <v>177</v>
      </c>
      <c r="I485" s="5" t="s">
        <v>276</v>
      </c>
      <c r="J485" s="5" t="s">
        <v>25</v>
      </c>
      <c r="K485" s="5" t="s">
        <v>276</v>
      </c>
      <c r="L485" s="5" t="s">
        <v>34</v>
      </c>
      <c r="M485" s="5" t="s">
        <v>276</v>
      </c>
      <c r="N485" s="5" t="s">
        <v>27</v>
      </c>
      <c r="O485" s="5">
        <v>2</v>
      </c>
      <c r="P485" s="5">
        <v>211</v>
      </c>
      <c r="Q485" s="5">
        <v>20</v>
      </c>
      <c r="R485" s="5" t="s">
        <v>28</v>
      </c>
      <c r="S485" s="5" t="s">
        <v>29</v>
      </c>
      <c r="T485" s="5" t="s">
        <v>288</v>
      </c>
      <c r="U485" s="7" t="s">
        <v>202</v>
      </c>
    </row>
    <row r="486" spans="1:21" x14ac:dyDescent="0.25">
      <c r="A486" s="4">
        <v>1304113</v>
      </c>
      <c r="B486" s="5" t="s">
        <v>39</v>
      </c>
      <c r="C486" s="6">
        <v>44700</v>
      </c>
      <c r="D486" s="5" t="s">
        <v>357</v>
      </c>
      <c r="E486" s="5" t="s">
        <v>92</v>
      </c>
      <c r="F486" s="5" t="s">
        <v>253</v>
      </c>
      <c r="G486" s="5" t="s">
        <v>21</v>
      </c>
      <c r="H486" s="5" t="s">
        <v>92</v>
      </c>
      <c r="I486" s="5" t="s">
        <v>277</v>
      </c>
      <c r="J486" s="5" t="s">
        <v>24</v>
      </c>
      <c r="K486" s="5" t="s">
        <v>277</v>
      </c>
      <c r="L486" s="5" t="s">
        <v>34</v>
      </c>
      <c r="M486" s="5" t="s">
        <v>24</v>
      </c>
      <c r="N486" s="5" t="s">
        <v>38</v>
      </c>
      <c r="O486" s="5">
        <v>8</v>
      </c>
      <c r="P486" s="5">
        <v>169</v>
      </c>
      <c r="Q486" s="5">
        <v>20</v>
      </c>
      <c r="R486" s="5" t="s">
        <v>28</v>
      </c>
      <c r="S486" s="5" t="s">
        <v>29</v>
      </c>
      <c r="T486" s="5" t="s">
        <v>186</v>
      </c>
      <c r="U486" s="7" t="s">
        <v>289</v>
      </c>
    </row>
    <row r="487" spans="1:21" x14ac:dyDescent="0.25">
      <c r="A487" s="4">
        <v>1304114</v>
      </c>
      <c r="B487" s="5" t="s">
        <v>39</v>
      </c>
      <c r="C487" s="6">
        <v>44701</v>
      </c>
      <c r="D487" s="5" t="s">
        <v>357</v>
      </c>
      <c r="E487" s="5" t="s">
        <v>87</v>
      </c>
      <c r="F487" s="5" t="s">
        <v>80</v>
      </c>
      <c r="G487" s="5" t="s">
        <v>21</v>
      </c>
      <c r="H487" s="5" t="s">
        <v>87</v>
      </c>
      <c r="I487" s="5" t="s">
        <v>33</v>
      </c>
      <c r="J487" s="5" t="s">
        <v>37</v>
      </c>
      <c r="K487" s="5" t="s">
        <v>33</v>
      </c>
      <c r="L487" s="5" t="s">
        <v>34</v>
      </c>
      <c r="M487" s="5" t="s">
        <v>37</v>
      </c>
      <c r="N487" s="5" t="s">
        <v>38</v>
      </c>
      <c r="O487" s="5">
        <v>5</v>
      </c>
      <c r="P487" s="5">
        <v>151</v>
      </c>
      <c r="Q487" s="5">
        <v>20</v>
      </c>
      <c r="R487" s="5" t="s">
        <v>28</v>
      </c>
      <c r="S487" s="5" t="s">
        <v>29</v>
      </c>
      <c r="T487" s="5" t="s">
        <v>155</v>
      </c>
      <c r="U487" s="7" t="s">
        <v>290</v>
      </c>
    </row>
    <row r="488" spans="1:21" x14ac:dyDescent="0.25">
      <c r="A488" s="4">
        <v>1304115</v>
      </c>
      <c r="B488" s="5" t="s">
        <v>39</v>
      </c>
      <c r="C488" s="6">
        <v>44702</v>
      </c>
      <c r="D488" s="5" t="s">
        <v>357</v>
      </c>
      <c r="E488" s="5" t="s">
        <v>200</v>
      </c>
      <c r="F488" s="5" t="s">
        <v>253</v>
      </c>
      <c r="G488" s="5" t="s">
        <v>21</v>
      </c>
      <c r="H488" s="5" t="s">
        <v>200</v>
      </c>
      <c r="I488" s="5" t="s">
        <v>229</v>
      </c>
      <c r="J488" s="5" t="s">
        <v>41</v>
      </c>
      <c r="K488" s="5" t="s">
        <v>41</v>
      </c>
      <c r="L488" s="5" t="s">
        <v>26</v>
      </c>
      <c r="M488" s="5" t="s">
        <v>41</v>
      </c>
      <c r="N488" s="5" t="s">
        <v>38</v>
      </c>
      <c r="O488" s="5">
        <v>5</v>
      </c>
      <c r="P488" s="5">
        <v>160</v>
      </c>
      <c r="Q488" s="5">
        <v>20</v>
      </c>
      <c r="R488" s="5" t="s">
        <v>28</v>
      </c>
      <c r="S488" s="5" t="s">
        <v>29</v>
      </c>
      <c r="T488" s="5" t="s">
        <v>174</v>
      </c>
      <c r="U488" s="7" t="s">
        <v>269</v>
      </c>
    </row>
    <row r="489" spans="1:21" x14ac:dyDescent="0.25">
      <c r="A489" s="4">
        <v>1304116</v>
      </c>
      <c r="B489" s="5" t="s">
        <v>39</v>
      </c>
      <c r="C489" s="6">
        <v>44703</v>
      </c>
      <c r="D489" s="5" t="s">
        <v>357</v>
      </c>
      <c r="E489" s="5" t="s">
        <v>262</v>
      </c>
      <c r="F489" s="5" t="s">
        <v>253</v>
      </c>
      <c r="G489" s="5" t="s">
        <v>21</v>
      </c>
      <c r="H489" s="5" t="s">
        <v>262</v>
      </c>
      <c r="I489" s="5" t="s">
        <v>121</v>
      </c>
      <c r="J489" s="5" t="s">
        <v>254</v>
      </c>
      <c r="K489" s="5" t="s">
        <v>121</v>
      </c>
      <c r="L489" s="5" t="s">
        <v>34</v>
      </c>
      <c r="M489" s="5" t="s">
        <v>254</v>
      </c>
      <c r="N489" s="5" t="s">
        <v>38</v>
      </c>
      <c r="O489" s="5">
        <v>5</v>
      </c>
      <c r="P489" s="5">
        <v>158</v>
      </c>
      <c r="Q489" s="5">
        <v>20</v>
      </c>
      <c r="R489" s="5" t="s">
        <v>28</v>
      </c>
      <c r="S489" s="5" t="s">
        <v>29</v>
      </c>
      <c r="T489" s="5" t="s">
        <v>105</v>
      </c>
      <c r="U489" s="7" t="s">
        <v>290</v>
      </c>
    </row>
    <row r="490" spans="1:21" x14ac:dyDescent="0.25">
      <c r="A490" s="4">
        <v>1312197</v>
      </c>
      <c r="B490" s="5" t="s">
        <v>42</v>
      </c>
      <c r="C490" s="6">
        <v>44705</v>
      </c>
      <c r="D490" s="5" t="s">
        <v>357</v>
      </c>
      <c r="E490" s="5" t="s">
        <v>128</v>
      </c>
      <c r="F490" s="5" t="s">
        <v>303</v>
      </c>
      <c r="G490" s="5" t="s">
        <v>100</v>
      </c>
      <c r="H490" s="5" t="s">
        <v>128</v>
      </c>
      <c r="I490" s="5" t="s">
        <v>37</v>
      </c>
      <c r="J490" s="5" t="s">
        <v>277</v>
      </c>
      <c r="K490" s="5" t="s">
        <v>277</v>
      </c>
      <c r="L490" s="5" t="s">
        <v>26</v>
      </c>
      <c r="M490" s="5" t="s">
        <v>277</v>
      </c>
      <c r="N490" s="5" t="s">
        <v>38</v>
      </c>
      <c r="O490" s="5">
        <v>7</v>
      </c>
      <c r="P490" s="5">
        <v>189</v>
      </c>
      <c r="Q490" s="5">
        <v>20</v>
      </c>
      <c r="R490" s="5" t="s">
        <v>28</v>
      </c>
      <c r="S490" s="5" t="s">
        <v>29</v>
      </c>
      <c r="T490" s="5" t="s">
        <v>113</v>
      </c>
      <c r="U490" s="7" t="s">
        <v>173</v>
      </c>
    </row>
    <row r="491" spans="1:21" x14ac:dyDescent="0.25">
      <c r="A491" s="4">
        <v>1312198</v>
      </c>
      <c r="B491" s="5" t="s">
        <v>42</v>
      </c>
      <c r="C491" s="6">
        <v>44706</v>
      </c>
      <c r="D491" s="5" t="s">
        <v>357</v>
      </c>
      <c r="E491" s="5" t="s">
        <v>304</v>
      </c>
      <c r="F491" s="5" t="s">
        <v>303</v>
      </c>
      <c r="G491" s="5" t="s">
        <v>136</v>
      </c>
      <c r="H491" s="5" t="s">
        <v>304</v>
      </c>
      <c r="I491" s="5" t="s">
        <v>24</v>
      </c>
      <c r="J491" s="5" t="s">
        <v>276</v>
      </c>
      <c r="K491" s="5" t="s">
        <v>276</v>
      </c>
      <c r="L491" s="5" t="s">
        <v>26</v>
      </c>
      <c r="M491" s="5" t="s">
        <v>24</v>
      </c>
      <c r="N491" s="5" t="s">
        <v>27</v>
      </c>
      <c r="O491" s="5">
        <v>14</v>
      </c>
      <c r="P491" s="5">
        <v>208</v>
      </c>
      <c r="Q491" s="5">
        <v>20</v>
      </c>
      <c r="R491" s="5" t="s">
        <v>28</v>
      </c>
      <c r="S491" s="5" t="s">
        <v>29</v>
      </c>
      <c r="T491" s="5" t="s">
        <v>258</v>
      </c>
      <c r="U491" s="7" t="s">
        <v>266</v>
      </c>
    </row>
    <row r="492" spans="1:21" x14ac:dyDescent="0.25">
      <c r="A492" s="4">
        <v>1312199</v>
      </c>
      <c r="B492" s="5" t="s">
        <v>77</v>
      </c>
      <c r="C492" s="6">
        <v>44708</v>
      </c>
      <c r="D492" s="5" t="s">
        <v>357</v>
      </c>
      <c r="E492" s="5" t="s">
        <v>205</v>
      </c>
      <c r="F492" s="5" t="s">
        <v>260</v>
      </c>
      <c r="G492" s="5" t="s">
        <v>102</v>
      </c>
      <c r="H492" s="5" t="s">
        <v>205</v>
      </c>
      <c r="I492" s="5" t="s">
        <v>24</v>
      </c>
      <c r="J492" s="5" t="s">
        <v>37</v>
      </c>
      <c r="K492" s="5" t="s">
        <v>37</v>
      </c>
      <c r="L492" s="5" t="s">
        <v>26</v>
      </c>
      <c r="M492" s="5" t="s">
        <v>37</v>
      </c>
      <c r="N492" s="5" t="s">
        <v>38</v>
      </c>
      <c r="O492" s="5">
        <v>7</v>
      </c>
      <c r="P492" s="5">
        <v>158</v>
      </c>
      <c r="Q492" s="5">
        <v>20</v>
      </c>
      <c r="R492" s="5" t="s">
        <v>28</v>
      </c>
      <c r="S492" s="5" t="s">
        <v>29</v>
      </c>
      <c r="T492" s="5" t="s">
        <v>155</v>
      </c>
      <c r="U492" s="7" t="s">
        <v>174</v>
      </c>
    </row>
    <row r="493" spans="1:21" x14ac:dyDescent="0.25">
      <c r="A493" s="4">
        <v>1312200</v>
      </c>
      <c r="B493" s="5" t="s">
        <v>77</v>
      </c>
      <c r="C493" s="6">
        <v>44710</v>
      </c>
      <c r="D493" s="5" t="s">
        <v>357</v>
      </c>
      <c r="E493" s="5" t="s">
        <v>167</v>
      </c>
      <c r="F493" s="5" t="s">
        <v>260</v>
      </c>
      <c r="G493" s="5" t="s">
        <v>61</v>
      </c>
      <c r="H493" s="5" t="s">
        <v>167</v>
      </c>
      <c r="I493" s="5" t="s">
        <v>37</v>
      </c>
      <c r="J493" s="5" t="s">
        <v>277</v>
      </c>
      <c r="K493" s="5" t="s">
        <v>37</v>
      </c>
      <c r="L493" s="5" t="s">
        <v>34</v>
      </c>
      <c r="M493" s="5" t="s">
        <v>277</v>
      </c>
      <c r="N493" s="5" t="s">
        <v>38</v>
      </c>
      <c r="O493" s="5">
        <v>7</v>
      </c>
      <c r="P493" s="5">
        <v>131</v>
      </c>
      <c r="Q493" s="5">
        <v>20</v>
      </c>
      <c r="R493" s="5" t="s">
        <v>28</v>
      </c>
      <c r="S493" s="5" t="s">
        <v>29</v>
      </c>
      <c r="T493" s="5" t="s">
        <v>155</v>
      </c>
      <c r="U493" s="7" t="s">
        <v>174</v>
      </c>
    </row>
    <row r="494" spans="1:21" x14ac:dyDescent="0.25">
      <c r="A494" s="4">
        <v>1359475</v>
      </c>
      <c r="B494" s="5" t="s">
        <v>77</v>
      </c>
      <c r="C494" s="6">
        <v>45016</v>
      </c>
      <c r="D494" s="5" t="s">
        <v>358</v>
      </c>
      <c r="E494" s="5" t="s">
        <v>197</v>
      </c>
      <c r="F494" s="5" t="s">
        <v>260</v>
      </c>
      <c r="G494" s="5" t="s">
        <v>21</v>
      </c>
      <c r="H494" s="5" t="s">
        <v>197</v>
      </c>
      <c r="I494" s="5" t="s">
        <v>33</v>
      </c>
      <c r="J494" s="5" t="s">
        <v>277</v>
      </c>
      <c r="K494" s="5" t="s">
        <v>277</v>
      </c>
      <c r="L494" s="5" t="s">
        <v>26</v>
      </c>
      <c r="M494" s="5" t="s">
        <v>277</v>
      </c>
      <c r="N494" s="5" t="s">
        <v>38</v>
      </c>
      <c r="O494" s="5">
        <v>5</v>
      </c>
      <c r="P494" s="5">
        <v>179</v>
      </c>
      <c r="Q494" s="5">
        <v>20</v>
      </c>
      <c r="R494" s="5" t="s">
        <v>28</v>
      </c>
      <c r="S494" s="5" t="s">
        <v>29</v>
      </c>
      <c r="T494" s="5" t="s">
        <v>174</v>
      </c>
      <c r="U494" s="7" t="s">
        <v>270</v>
      </c>
    </row>
    <row r="495" spans="1:21" x14ac:dyDescent="0.25">
      <c r="A495" s="4">
        <v>1359476</v>
      </c>
      <c r="B495" s="5" t="s">
        <v>30</v>
      </c>
      <c r="C495" s="6">
        <v>45017</v>
      </c>
      <c r="D495" s="5" t="s">
        <v>358</v>
      </c>
      <c r="E495" s="5" t="s">
        <v>305</v>
      </c>
      <c r="F495" s="5" t="s">
        <v>306</v>
      </c>
      <c r="G495" s="5" t="s">
        <v>21</v>
      </c>
      <c r="H495" s="5" t="s">
        <v>305</v>
      </c>
      <c r="I495" s="5" t="s">
        <v>254</v>
      </c>
      <c r="J495" s="5" t="s">
        <v>25</v>
      </c>
      <c r="K495" s="5" t="s">
        <v>25</v>
      </c>
      <c r="L495" s="5" t="s">
        <v>26</v>
      </c>
      <c r="M495" s="5" t="s">
        <v>254</v>
      </c>
      <c r="N495" s="5" t="s">
        <v>27</v>
      </c>
      <c r="O495" s="5">
        <v>7</v>
      </c>
      <c r="P495" s="5">
        <v>154</v>
      </c>
      <c r="Q495" s="5">
        <v>16</v>
      </c>
      <c r="R495" s="5" t="s">
        <v>28</v>
      </c>
      <c r="S495" s="5" t="s">
        <v>57</v>
      </c>
      <c r="T495" s="5" t="s">
        <v>113</v>
      </c>
      <c r="U495" s="7" t="s">
        <v>202</v>
      </c>
    </row>
    <row r="496" spans="1:21" x14ac:dyDescent="0.25">
      <c r="A496" s="4">
        <v>1359477</v>
      </c>
      <c r="B496" s="5" t="s">
        <v>307</v>
      </c>
      <c r="C496" s="6">
        <v>45017</v>
      </c>
      <c r="D496" s="5" t="s">
        <v>358</v>
      </c>
      <c r="E496" s="5" t="s">
        <v>308</v>
      </c>
      <c r="F496" s="5" t="s">
        <v>309</v>
      </c>
      <c r="G496" s="5" t="s">
        <v>21</v>
      </c>
      <c r="H496" s="5" t="s">
        <v>308</v>
      </c>
      <c r="I496" s="5" t="s">
        <v>276</v>
      </c>
      <c r="J496" s="5" t="s">
        <v>229</v>
      </c>
      <c r="K496" s="5" t="s">
        <v>229</v>
      </c>
      <c r="L496" s="5" t="s">
        <v>26</v>
      </c>
      <c r="M496" s="5" t="s">
        <v>276</v>
      </c>
      <c r="N496" s="5" t="s">
        <v>27</v>
      </c>
      <c r="O496" s="5">
        <v>50</v>
      </c>
      <c r="P496" s="5">
        <v>194</v>
      </c>
      <c r="Q496" s="5">
        <v>20</v>
      </c>
      <c r="R496" s="5" t="s">
        <v>28</v>
      </c>
      <c r="S496" s="5" t="s">
        <v>29</v>
      </c>
      <c r="T496" s="5" t="s">
        <v>105</v>
      </c>
      <c r="U496" s="7" t="s">
        <v>290</v>
      </c>
    </row>
    <row r="497" spans="1:21" x14ac:dyDescent="0.25">
      <c r="A497" s="4">
        <v>1359478</v>
      </c>
      <c r="B497" s="5" t="s">
        <v>47</v>
      </c>
      <c r="C497" s="6">
        <v>45018</v>
      </c>
      <c r="D497" s="5" t="s">
        <v>358</v>
      </c>
      <c r="E497" s="5" t="s">
        <v>205</v>
      </c>
      <c r="F497" s="5" t="s">
        <v>310</v>
      </c>
      <c r="G497" s="5" t="s">
        <v>21</v>
      </c>
      <c r="H497" s="5" t="s">
        <v>205</v>
      </c>
      <c r="I497" s="5" t="s">
        <v>37</v>
      </c>
      <c r="J497" s="5" t="s">
        <v>121</v>
      </c>
      <c r="K497" s="5" t="s">
        <v>121</v>
      </c>
      <c r="L497" s="5" t="s">
        <v>26</v>
      </c>
      <c r="M497" s="5" t="s">
        <v>37</v>
      </c>
      <c r="N497" s="5" t="s">
        <v>27</v>
      </c>
      <c r="O497" s="5">
        <v>72</v>
      </c>
      <c r="P497" s="5">
        <v>204</v>
      </c>
      <c r="Q497" s="5">
        <v>20</v>
      </c>
      <c r="R497" s="5" t="s">
        <v>28</v>
      </c>
      <c r="S497" s="5" t="s">
        <v>29</v>
      </c>
      <c r="T497" s="5" t="s">
        <v>186</v>
      </c>
      <c r="U497" s="7" t="s">
        <v>288</v>
      </c>
    </row>
    <row r="498" spans="1:21" x14ac:dyDescent="0.25">
      <c r="A498" s="4">
        <v>1359479</v>
      </c>
      <c r="B498" s="5" t="s">
        <v>195</v>
      </c>
      <c r="C498" s="6">
        <v>45018</v>
      </c>
      <c r="D498" s="5" t="s">
        <v>358</v>
      </c>
      <c r="E498" s="5" t="s">
        <v>114</v>
      </c>
      <c r="F498" s="5" t="s">
        <v>311</v>
      </c>
      <c r="G498" s="5" t="s">
        <v>21</v>
      </c>
      <c r="H498" s="5" t="s">
        <v>114</v>
      </c>
      <c r="I498" s="5" t="s">
        <v>41</v>
      </c>
      <c r="J498" s="5" t="s">
        <v>24</v>
      </c>
      <c r="K498" s="5" t="s">
        <v>24</v>
      </c>
      <c r="L498" s="5" t="s">
        <v>26</v>
      </c>
      <c r="M498" s="5" t="s">
        <v>24</v>
      </c>
      <c r="N498" s="5" t="s">
        <v>38</v>
      </c>
      <c r="O498" s="5">
        <v>8</v>
      </c>
      <c r="P498" s="5">
        <v>172</v>
      </c>
      <c r="Q498" s="5">
        <v>20</v>
      </c>
      <c r="R498" s="5" t="s">
        <v>28</v>
      </c>
      <c r="S498" s="5" t="s">
        <v>29</v>
      </c>
      <c r="T498" s="5" t="s">
        <v>174</v>
      </c>
      <c r="U498" s="7" t="s">
        <v>269</v>
      </c>
    </row>
    <row r="499" spans="1:21" x14ac:dyDescent="0.25">
      <c r="A499" s="4">
        <v>1359480</v>
      </c>
      <c r="B499" s="5" t="s">
        <v>49</v>
      </c>
      <c r="C499" s="6">
        <v>45019</v>
      </c>
      <c r="D499" s="5" t="s">
        <v>358</v>
      </c>
      <c r="E499" s="5" t="s">
        <v>256</v>
      </c>
      <c r="F499" s="5" t="s">
        <v>252</v>
      </c>
      <c r="G499" s="5" t="s">
        <v>21</v>
      </c>
      <c r="H499" s="5" t="s">
        <v>256</v>
      </c>
      <c r="I499" s="5" t="s">
        <v>33</v>
      </c>
      <c r="J499" s="5" t="s">
        <v>276</v>
      </c>
      <c r="K499" s="5" t="s">
        <v>276</v>
      </c>
      <c r="L499" s="5" t="s">
        <v>26</v>
      </c>
      <c r="M499" s="5" t="s">
        <v>33</v>
      </c>
      <c r="N499" s="5" t="s">
        <v>27</v>
      </c>
      <c r="O499" s="5">
        <v>12</v>
      </c>
      <c r="P499" s="5">
        <v>218</v>
      </c>
      <c r="Q499" s="5">
        <v>20</v>
      </c>
      <c r="R499" s="5" t="s">
        <v>28</v>
      </c>
      <c r="S499" s="5" t="s">
        <v>29</v>
      </c>
      <c r="T499" s="5" t="s">
        <v>312</v>
      </c>
      <c r="U499" s="7" t="s">
        <v>113</v>
      </c>
    </row>
    <row r="500" spans="1:21" x14ac:dyDescent="0.25">
      <c r="A500" s="4">
        <v>1359481</v>
      </c>
      <c r="B500" s="5" t="s">
        <v>35</v>
      </c>
      <c r="C500" s="6">
        <v>45020</v>
      </c>
      <c r="D500" s="5" t="s">
        <v>358</v>
      </c>
      <c r="E500" s="5" t="s">
        <v>313</v>
      </c>
      <c r="F500" s="5" t="s">
        <v>261</v>
      </c>
      <c r="G500" s="5" t="s">
        <v>21</v>
      </c>
      <c r="H500" s="5" t="s">
        <v>313</v>
      </c>
      <c r="I500" s="5" t="s">
        <v>229</v>
      </c>
      <c r="J500" s="5" t="s">
        <v>277</v>
      </c>
      <c r="K500" s="5" t="s">
        <v>277</v>
      </c>
      <c r="L500" s="5" t="s">
        <v>26</v>
      </c>
      <c r="M500" s="5" t="s">
        <v>277</v>
      </c>
      <c r="N500" s="5" t="s">
        <v>38</v>
      </c>
      <c r="O500" s="5">
        <v>6</v>
      </c>
      <c r="P500" s="5">
        <v>163</v>
      </c>
      <c r="Q500" s="5">
        <v>20</v>
      </c>
      <c r="R500" s="5" t="s">
        <v>28</v>
      </c>
      <c r="S500" s="5" t="s">
        <v>29</v>
      </c>
      <c r="T500" s="5" t="s">
        <v>178</v>
      </c>
      <c r="U500" s="7" t="s">
        <v>289</v>
      </c>
    </row>
    <row r="501" spans="1:21" x14ac:dyDescent="0.25">
      <c r="A501" s="4">
        <v>1359482</v>
      </c>
      <c r="B501" s="5" t="s">
        <v>314</v>
      </c>
      <c r="C501" s="6">
        <v>45021</v>
      </c>
      <c r="D501" s="5" t="s">
        <v>358</v>
      </c>
      <c r="E501" s="5" t="s">
        <v>315</v>
      </c>
      <c r="F501" s="5" t="s">
        <v>316</v>
      </c>
      <c r="G501" s="5" t="s">
        <v>21</v>
      </c>
      <c r="H501" s="5" t="s">
        <v>315</v>
      </c>
      <c r="I501" s="5" t="s">
        <v>254</v>
      </c>
      <c r="J501" s="5" t="s">
        <v>37</v>
      </c>
      <c r="K501" s="5" t="s">
        <v>37</v>
      </c>
      <c r="L501" s="5" t="s">
        <v>26</v>
      </c>
      <c r="M501" s="5" t="s">
        <v>254</v>
      </c>
      <c r="N501" s="5" t="s">
        <v>27</v>
      </c>
      <c r="O501" s="5">
        <v>5</v>
      </c>
      <c r="P501" s="5">
        <v>198</v>
      </c>
      <c r="Q501" s="5">
        <v>20</v>
      </c>
      <c r="R501" s="5" t="s">
        <v>28</v>
      </c>
      <c r="S501" s="5" t="s">
        <v>29</v>
      </c>
      <c r="T501" s="5" t="s">
        <v>186</v>
      </c>
      <c r="U501" s="7" t="s">
        <v>317</v>
      </c>
    </row>
    <row r="502" spans="1:21" x14ac:dyDescent="0.25">
      <c r="A502" s="4">
        <v>1359483</v>
      </c>
      <c r="B502" s="5" t="s">
        <v>42</v>
      </c>
      <c r="C502" s="6">
        <v>45022</v>
      </c>
      <c r="D502" s="5" t="s">
        <v>358</v>
      </c>
      <c r="E502" s="5" t="s">
        <v>302</v>
      </c>
      <c r="F502" s="5" t="s">
        <v>303</v>
      </c>
      <c r="G502" s="5" t="s">
        <v>21</v>
      </c>
      <c r="H502" s="5" t="s">
        <v>302</v>
      </c>
      <c r="I502" s="5" t="s">
        <v>25</v>
      </c>
      <c r="J502" s="5" t="s">
        <v>24</v>
      </c>
      <c r="K502" s="5" t="s">
        <v>24</v>
      </c>
      <c r="L502" s="5" t="s">
        <v>26</v>
      </c>
      <c r="M502" s="5" t="s">
        <v>25</v>
      </c>
      <c r="N502" s="5" t="s">
        <v>27</v>
      </c>
      <c r="O502" s="5">
        <v>81</v>
      </c>
      <c r="P502" s="5">
        <v>205</v>
      </c>
      <c r="Q502" s="5">
        <v>20</v>
      </c>
      <c r="R502" s="5" t="s">
        <v>28</v>
      </c>
      <c r="S502" s="5" t="s">
        <v>29</v>
      </c>
      <c r="T502" s="5" t="s">
        <v>318</v>
      </c>
      <c r="U502" s="7" t="s">
        <v>173</v>
      </c>
    </row>
    <row r="503" spans="1:21" x14ac:dyDescent="0.25">
      <c r="A503" s="4">
        <v>1359484</v>
      </c>
      <c r="B503" s="5" t="s">
        <v>307</v>
      </c>
      <c r="C503" s="6">
        <v>45023</v>
      </c>
      <c r="D503" s="5" t="s">
        <v>358</v>
      </c>
      <c r="E503" s="5" t="s">
        <v>190</v>
      </c>
      <c r="F503" s="5" t="s">
        <v>309</v>
      </c>
      <c r="G503" s="5" t="s">
        <v>21</v>
      </c>
      <c r="H503" s="5" t="s">
        <v>190</v>
      </c>
      <c r="I503" s="5" t="s">
        <v>121</v>
      </c>
      <c r="J503" s="5" t="s">
        <v>276</v>
      </c>
      <c r="K503" s="5" t="s">
        <v>121</v>
      </c>
      <c r="L503" s="5" t="s">
        <v>34</v>
      </c>
      <c r="M503" s="5" t="s">
        <v>276</v>
      </c>
      <c r="N503" s="5" t="s">
        <v>38</v>
      </c>
      <c r="O503" s="5">
        <v>5</v>
      </c>
      <c r="P503" s="5">
        <v>122</v>
      </c>
      <c r="Q503" s="5">
        <v>20</v>
      </c>
      <c r="R503" s="5" t="s">
        <v>28</v>
      </c>
      <c r="S503" s="5" t="s">
        <v>29</v>
      </c>
      <c r="T503" s="5" t="s">
        <v>258</v>
      </c>
      <c r="U503" s="7" t="s">
        <v>202</v>
      </c>
    </row>
    <row r="504" spans="1:21" x14ac:dyDescent="0.25">
      <c r="A504" s="4">
        <v>1359485</v>
      </c>
      <c r="B504" s="5" t="s">
        <v>314</v>
      </c>
      <c r="C504" s="6">
        <v>45024</v>
      </c>
      <c r="D504" s="5" t="s">
        <v>358</v>
      </c>
      <c r="E504" s="5" t="s">
        <v>299</v>
      </c>
      <c r="F504" s="5" t="s">
        <v>316</v>
      </c>
      <c r="G504" s="5" t="s">
        <v>21</v>
      </c>
      <c r="H504" s="5" t="s">
        <v>299</v>
      </c>
      <c r="I504" s="5" t="s">
        <v>37</v>
      </c>
      <c r="J504" s="5" t="s">
        <v>229</v>
      </c>
      <c r="K504" s="5" t="s">
        <v>229</v>
      </c>
      <c r="L504" s="5" t="s">
        <v>26</v>
      </c>
      <c r="M504" s="5" t="s">
        <v>37</v>
      </c>
      <c r="N504" s="5" t="s">
        <v>27</v>
      </c>
      <c r="O504" s="5">
        <v>57</v>
      </c>
      <c r="P504" s="5">
        <v>200</v>
      </c>
      <c r="Q504" s="5">
        <v>20</v>
      </c>
      <c r="R504" s="5" t="s">
        <v>28</v>
      </c>
      <c r="S504" s="5" t="s">
        <v>29</v>
      </c>
      <c r="T504" s="5" t="s">
        <v>259</v>
      </c>
      <c r="U504" s="7" t="s">
        <v>317</v>
      </c>
    </row>
    <row r="505" spans="1:21" x14ac:dyDescent="0.25">
      <c r="A505" s="4">
        <v>1359486</v>
      </c>
      <c r="B505" s="5" t="s">
        <v>39</v>
      </c>
      <c r="C505" s="6">
        <v>45024</v>
      </c>
      <c r="D505" s="5" t="s">
        <v>358</v>
      </c>
      <c r="E505" s="5" t="s">
        <v>108</v>
      </c>
      <c r="F505" s="5" t="s">
        <v>253</v>
      </c>
      <c r="G505" s="5" t="s">
        <v>21</v>
      </c>
      <c r="H505" s="5" t="s">
        <v>108</v>
      </c>
      <c r="I505" s="5" t="s">
        <v>41</v>
      </c>
      <c r="J505" s="5" t="s">
        <v>33</v>
      </c>
      <c r="K505" s="5" t="s">
        <v>33</v>
      </c>
      <c r="L505" s="5" t="s">
        <v>26</v>
      </c>
      <c r="M505" s="5" t="s">
        <v>33</v>
      </c>
      <c r="N505" s="5" t="s">
        <v>38</v>
      </c>
      <c r="O505" s="5">
        <v>7</v>
      </c>
      <c r="P505" s="5">
        <v>158</v>
      </c>
      <c r="Q505" s="5">
        <v>20</v>
      </c>
      <c r="R505" s="5" t="s">
        <v>28</v>
      </c>
      <c r="S505" s="5" t="s">
        <v>29</v>
      </c>
      <c r="T505" s="5" t="s">
        <v>155</v>
      </c>
      <c r="U505" s="7" t="s">
        <v>290</v>
      </c>
    </row>
    <row r="506" spans="1:21" x14ac:dyDescent="0.25">
      <c r="A506" s="4">
        <v>1359487</v>
      </c>
      <c r="B506" s="5" t="s">
        <v>77</v>
      </c>
      <c r="C506" s="6">
        <v>45025</v>
      </c>
      <c r="D506" s="5" t="s">
        <v>358</v>
      </c>
      <c r="E506" s="5" t="s">
        <v>297</v>
      </c>
      <c r="F506" s="5" t="s">
        <v>260</v>
      </c>
      <c r="G506" s="5" t="s">
        <v>21</v>
      </c>
      <c r="H506" s="5" t="s">
        <v>297</v>
      </c>
      <c r="I506" s="5" t="s">
        <v>277</v>
      </c>
      <c r="J506" s="5" t="s">
        <v>25</v>
      </c>
      <c r="K506" s="5" t="s">
        <v>277</v>
      </c>
      <c r="L506" s="5" t="s">
        <v>34</v>
      </c>
      <c r="M506" s="5" t="s">
        <v>25</v>
      </c>
      <c r="N506" s="5" t="s">
        <v>38</v>
      </c>
      <c r="O506" s="5">
        <v>3</v>
      </c>
      <c r="P506" s="5">
        <v>205</v>
      </c>
      <c r="Q506" s="5">
        <v>20</v>
      </c>
      <c r="R506" s="5" t="s">
        <v>28</v>
      </c>
      <c r="S506" s="5" t="s">
        <v>29</v>
      </c>
      <c r="T506" s="5" t="s">
        <v>174</v>
      </c>
      <c r="U506" s="7" t="s">
        <v>269</v>
      </c>
    </row>
    <row r="507" spans="1:21" x14ac:dyDescent="0.25">
      <c r="A507" s="4">
        <v>1359488</v>
      </c>
      <c r="B507" s="5" t="s">
        <v>47</v>
      </c>
      <c r="C507" s="6">
        <v>45025</v>
      </c>
      <c r="D507" s="5" t="s">
        <v>358</v>
      </c>
      <c r="E507" s="5" t="s">
        <v>98</v>
      </c>
      <c r="F507" s="5" t="s">
        <v>310</v>
      </c>
      <c r="G507" s="5" t="s">
        <v>21</v>
      </c>
      <c r="H507" s="5" t="s">
        <v>98</v>
      </c>
      <c r="I507" s="5" t="s">
        <v>254</v>
      </c>
      <c r="J507" s="5" t="s">
        <v>121</v>
      </c>
      <c r="K507" s="5" t="s">
        <v>121</v>
      </c>
      <c r="L507" s="5" t="s">
        <v>26</v>
      </c>
      <c r="M507" s="5" t="s">
        <v>121</v>
      </c>
      <c r="N507" s="5" t="s">
        <v>38</v>
      </c>
      <c r="O507" s="5">
        <v>8</v>
      </c>
      <c r="P507" s="5">
        <v>144</v>
      </c>
      <c r="Q507" s="5">
        <v>20</v>
      </c>
      <c r="R507" s="5" t="s">
        <v>28</v>
      </c>
      <c r="S507" s="5" t="s">
        <v>29</v>
      </c>
      <c r="T507" s="5" t="s">
        <v>113</v>
      </c>
      <c r="U507" s="7" t="s">
        <v>237</v>
      </c>
    </row>
    <row r="508" spans="1:21" x14ac:dyDescent="0.25">
      <c r="A508" s="4">
        <v>1359489</v>
      </c>
      <c r="B508" s="5" t="s">
        <v>195</v>
      </c>
      <c r="C508" s="6">
        <v>45026</v>
      </c>
      <c r="D508" s="5" t="s">
        <v>358</v>
      </c>
      <c r="E508" s="5" t="s">
        <v>319</v>
      </c>
      <c r="F508" s="5" t="s">
        <v>311</v>
      </c>
      <c r="G508" s="5" t="s">
        <v>21</v>
      </c>
      <c r="H508" s="5" t="s">
        <v>319</v>
      </c>
      <c r="I508" s="5" t="s">
        <v>24</v>
      </c>
      <c r="J508" s="5" t="s">
        <v>276</v>
      </c>
      <c r="K508" s="5" t="s">
        <v>276</v>
      </c>
      <c r="L508" s="5" t="s">
        <v>26</v>
      </c>
      <c r="M508" s="5" t="s">
        <v>276</v>
      </c>
      <c r="N508" s="5" t="s">
        <v>38</v>
      </c>
      <c r="O508" s="5">
        <v>1</v>
      </c>
      <c r="P508" s="5">
        <v>213</v>
      </c>
      <c r="Q508" s="5">
        <v>20</v>
      </c>
      <c r="R508" s="5" t="s">
        <v>28</v>
      </c>
      <c r="S508" s="5" t="s">
        <v>29</v>
      </c>
      <c r="T508" s="5" t="s">
        <v>105</v>
      </c>
      <c r="U508" s="7" t="s">
        <v>178</v>
      </c>
    </row>
    <row r="509" spans="1:21" x14ac:dyDescent="0.25">
      <c r="A509" s="4">
        <v>1359490</v>
      </c>
      <c r="B509" s="5" t="s">
        <v>35</v>
      </c>
      <c r="C509" s="6">
        <v>45027</v>
      </c>
      <c r="D509" s="5" t="s">
        <v>358</v>
      </c>
      <c r="E509" s="5" t="s">
        <v>72</v>
      </c>
      <c r="F509" s="5" t="s">
        <v>261</v>
      </c>
      <c r="G509" s="5" t="s">
        <v>21</v>
      </c>
      <c r="H509" s="5" t="s">
        <v>72</v>
      </c>
      <c r="I509" s="5" t="s">
        <v>229</v>
      </c>
      <c r="J509" s="5" t="s">
        <v>41</v>
      </c>
      <c r="K509" s="5" t="s">
        <v>41</v>
      </c>
      <c r="L509" s="5" t="s">
        <v>26</v>
      </c>
      <c r="M509" s="5" t="s">
        <v>41</v>
      </c>
      <c r="N509" s="5" t="s">
        <v>38</v>
      </c>
      <c r="O509" s="5">
        <v>6</v>
      </c>
      <c r="P509" s="5">
        <v>173</v>
      </c>
      <c r="Q509" s="5">
        <v>20</v>
      </c>
      <c r="R509" s="5" t="s">
        <v>28</v>
      </c>
      <c r="S509" s="5" t="s">
        <v>29</v>
      </c>
      <c r="T509" s="5" t="s">
        <v>266</v>
      </c>
      <c r="U509" s="7" t="s">
        <v>288</v>
      </c>
    </row>
    <row r="510" spans="1:21" x14ac:dyDescent="0.25">
      <c r="A510" s="4">
        <v>1359491</v>
      </c>
      <c r="B510" s="5" t="s">
        <v>49</v>
      </c>
      <c r="C510" s="6">
        <v>45028</v>
      </c>
      <c r="D510" s="5" t="s">
        <v>358</v>
      </c>
      <c r="E510" s="5" t="s">
        <v>87</v>
      </c>
      <c r="F510" s="5" t="s">
        <v>252</v>
      </c>
      <c r="G510" s="5" t="s">
        <v>21</v>
      </c>
      <c r="H510" s="5" t="s">
        <v>87</v>
      </c>
      <c r="I510" s="5" t="s">
        <v>37</v>
      </c>
      <c r="J510" s="5" t="s">
        <v>33</v>
      </c>
      <c r="K510" s="5" t="s">
        <v>33</v>
      </c>
      <c r="L510" s="5" t="s">
        <v>26</v>
      </c>
      <c r="M510" s="5" t="s">
        <v>37</v>
      </c>
      <c r="N510" s="5" t="s">
        <v>27</v>
      </c>
      <c r="O510" s="5">
        <v>3</v>
      </c>
      <c r="P510" s="5">
        <v>176</v>
      </c>
      <c r="Q510" s="5">
        <v>20</v>
      </c>
      <c r="R510" s="5" t="s">
        <v>28</v>
      </c>
      <c r="S510" s="5" t="s">
        <v>29</v>
      </c>
      <c r="T510" s="5" t="s">
        <v>318</v>
      </c>
      <c r="U510" s="7" t="s">
        <v>173</v>
      </c>
    </row>
    <row r="511" spans="1:21" x14ac:dyDescent="0.25">
      <c r="A511" s="4">
        <v>1359492</v>
      </c>
      <c r="B511" s="5" t="s">
        <v>30</v>
      </c>
      <c r="C511" s="6">
        <v>45029</v>
      </c>
      <c r="D511" s="5" t="s">
        <v>358</v>
      </c>
      <c r="E511" s="5" t="s">
        <v>145</v>
      </c>
      <c r="F511" s="5" t="s">
        <v>306</v>
      </c>
      <c r="G511" s="5" t="s">
        <v>21</v>
      </c>
      <c r="H511" s="5" t="s">
        <v>145</v>
      </c>
      <c r="I511" s="5" t="s">
        <v>254</v>
      </c>
      <c r="J511" s="5" t="s">
        <v>277</v>
      </c>
      <c r="K511" s="5" t="s">
        <v>277</v>
      </c>
      <c r="L511" s="5" t="s">
        <v>26</v>
      </c>
      <c r="M511" s="5" t="s">
        <v>277</v>
      </c>
      <c r="N511" s="5" t="s">
        <v>38</v>
      </c>
      <c r="O511" s="5">
        <v>6</v>
      </c>
      <c r="P511" s="5">
        <v>154</v>
      </c>
      <c r="Q511" s="5">
        <v>20</v>
      </c>
      <c r="R511" s="5" t="s">
        <v>28</v>
      </c>
      <c r="S511" s="5" t="s">
        <v>29</v>
      </c>
      <c r="T511" s="5" t="s">
        <v>312</v>
      </c>
      <c r="U511" s="7" t="s">
        <v>258</v>
      </c>
    </row>
    <row r="512" spans="1:21" x14ac:dyDescent="0.25">
      <c r="A512" s="4">
        <v>1359493</v>
      </c>
      <c r="B512" s="5" t="s">
        <v>42</v>
      </c>
      <c r="C512" s="6">
        <v>45030</v>
      </c>
      <c r="D512" s="5" t="s">
        <v>358</v>
      </c>
      <c r="E512" s="5" t="s">
        <v>320</v>
      </c>
      <c r="F512" s="5" t="s">
        <v>303</v>
      </c>
      <c r="G512" s="5" t="s">
        <v>21</v>
      </c>
      <c r="H512" s="5" t="s">
        <v>320</v>
      </c>
      <c r="I512" s="5" t="s">
        <v>121</v>
      </c>
      <c r="J512" s="5" t="s">
        <v>25</v>
      </c>
      <c r="K512" s="5" t="s">
        <v>25</v>
      </c>
      <c r="L512" s="5" t="s">
        <v>26</v>
      </c>
      <c r="M512" s="5" t="s">
        <v>121</v>
      </c>
      <c r="N512" s="5" t="s">
        <v>27</v>
      </c>
      <c r="O512" s="5">
        <v>23</v>
      </c>
      <c r="P512" s="5">
        <v>229</v>
      </c>
      <c r="Q512" s="5">
        <v>20</v>
      </c>
      <c r="R512" s="5" t="s">
        <v>28</v>
      </c>
      <c r="S512" s="5" t="s">
        <v>29</v>
      </c>
      <c r="T512" s="5" t="s">
        <v>155</v>
      </c>
      <c r="U512" s="7" t="s">
        <v>289</v>
      </c>
    </row>
    <row r="513" spans="1:21" x14ac:dyDescent="0.25">
      <c r="A513" s="4">
        <v>1359494</v>
      </c>
      <c r="B513" s="5" t="s">
        <v>195</v>
      </c>
      <c r="C513" s="6">
        <v>45031</v>
      </c>
      <c r="D513" s="5" t="s">
        <v>358</v>
      </c>
      <c r="E513" s="5" t="s">
        <v>92</v>
      </c>
      <c r="F513" s="5" t="s">
        <v>311</v>
      </c>
      <c r="G513" s="5" t="s">
        <v>21</v>
      </c>
      <c r="H513" s="5" t="s">
        <v>92</v>
      </c>
      <c r="I513" s="5" t="s">
        <v>24</v>
      </c>
      <c r="J513" s="5" t="s">
        <v>229</v>
      </c>
      <c r="K513" s="5" t="s">
        <v>229</v>
      </c>
      <c r="L513" s="5" t="s">
        <v>26</v>
      </c>
      <c r="M513" s="5" t="s">
        <v>24</v>
      </c>
      <c r="N513" s="5" t="s">
        <v>27</v>
      </c>
      <c r="O513" s="5">
        <v>23</v>
      </c>
      <c r="P513" s="5">
        <v>175</v>
      </c>
      <c r="Q513" s="5">
        <v>20</v>
      </c>
      <c r="R513" s="5" t="s">
        <v>28</v>
      </c>
      <c r="S513" s="5" t="s">
        <v>29</v>
      </c>
      <c r="T513" s="5" t="s">
        <v>186</v>
      </c>
      <c r="U513" s="7" t="s">
        <v>317</v>
      </c>
    </row>
    <row r="514" spans="1:21" x14ac:dyDescent="0.25">
      <c r="A514" s="4">
        <v>1359495</v>
      </c>
      <c r="B514" s="5" t="s">
        <v>307</v>
      </c>
      <c r="C514" s="6">
        <v>45031</v>
      </c>
      <c r="D514" s="5" t="s">
        <v>358</v>
      </c>
      <c r="E514" s="5" t="s">
        <v>321</v>
      </c>
      <c r="F514" s="5" t="s">
        <v>309</v>
      </c>
      <c r="G514" s="5" t="s">
        <v>21</v>
      </c>
      <c r="H514" s="5" t="s">
        <v>321</v>
      </c>
      <c r="I514" s="5" t="s">
        <v>276</v>
      </c>
      <c r="J514" s="5" t="s">
        <v>254</v>
      </c>
      <c r="K514" s="5" t="s">
        <v>254</v>
      </c>
      <c r="L514" s="5" t="s">
        <v>26</v>
      </c>
      <c r="M514" s="5" t="s">
        <v>254</v>
      </c>
      <c r="N514" s="5" t="s">
        <v>38</v>
      </c>
      <c r="O514" s="5">
        <v>2</v>
      </c>
      <c r="P514" s="5">
        <v>160</v>
      </c>
      <c r="Q514" s="5">
        <v>20</v>
      </c>
      <c r="R514" s="5" t="s">
        <v>28</v>
      </c>
      <c r="S514" s="5" t="s">
        <v>29</v>
      </c>
      <c r="T514" s="5" t="s">
        <v>270</v>
      </c>
      <c r="U514" s="7" t="s">
        <v>173</v>
      </c>
    </row>
    <row r="515" spans="1:21" x14ac:dyDescent="0.25">
      <c r="A515" s="4">
        <v>1359496</v>
      </c>
      <c r="B515" s="5" t="s">
        <v>39</v>
      </c>
      <c r="C515" s="6">
        <v>45032</v>
      </c>
      <c r="D515" s="5" t="s">
        <v>358</v>
      </c>
      <c r="E515" s="5" t="s">
        <v>273</v>
      </c>
      <c r="F515" s="5" t="s">
        <v>253</v>
      </c>
      <c r="G515" s="5" t="s">
        <v>21</v>
      </c>
      <c r="H515" s="5" t="s">
        <v>273</v>
      </c>
      <c r="I515" s="5" t="s">
        <v>25</v>
      </c>
      <c r="J515" s="5" t="s">
        <v>41</v>
      </c>
      <c r="K515" s="5" t="s">
        <v>41</v>
      </c>
      <c r="L515" s="5" t="s">
        <v>26</v>
      </c>
      <c r="M515" s="5" t="s">
        <v>41</v>
      </c>
      <c r="N515" s="5" t="s">
        <v>38</v>
      </c>
      <c r="O515" s="5">
        <v>5</v>
      </c>
      <c r="P515" s="5">
        <v>186</v>
      </c>
      <c r="Q515" s="5">
        <v>20</v>
      </c>
      <c r="R515" s="5" t="s">
        <v>28</v>
      </c>
      <c r="S515" s="5" t="s">
        <v>29</v>
      </c>
      <c r="T515" s="5" t="s">
        <v>113</v>
      </c>
      <c r="U515" s="7" t="s">
        <v>237</v>
      </c>
    </row>
    <row r="516" spans="1:21" x14ac:dyDescent="0.25">
      <c r="A516" s="4">
        <v>1359497</v>
      </c>
      <c r="B516" s="5" t="s">
        <v>77</v>
      </c>
      <c r="C516" s="6">
        <v>45032</v>
      </c>
      <c r="D516" s="5" t="s">
        <v>358</v>
      </c>
      <c r="E516" s="5" t="s">
        <v>243</v>
      </c>
      <c r="F516" s="5" t="s">
        <v>260</v>
      </c>
      <c r="G516" s="5" t="s">
        <v>21</v>
      </c>
      <c r="H516" s="5" t="s">
        <v>243</v>
      </c>
      <c r="I516" s="5" t="s">
        <v>277</v>
      </c>
      <c r="J516" s="5" t="s">
        <v>37</v>
      </c>
      <c r="K516" s="5" t="s">
        <v>37</v>
      </c>
      <c r="L516" s="5" t="s">
        <v>26</v>
      </c>
      <c r="M516" s="5" t="s">
        <v>37</v>
      </c>
      <c r="N516" s="5" t="s">
        <v>38</v>
      </c>
      <c r="O516" s="5">
        <v>3</v>
      </c>
      <c r="P516" s="5">
        <v>178</v>
      </c>
      <c r="Q516" s="5">
        <v>20</v>
      </c>
      <c r="R516" s="5" t="s">
        <v>28</v>
      </c>
      <c r="S516" s="5" t="s">
        <v>29</v>
      </c>
      <c r="T516" s="5" t="s">
        <v>105</v>
      </c>
      <c r="U516" s="7" t="s">
        <v>155</v>
      </c>
    </row>
    <row r="517" spans="1:21" x14ac:dyDescent="0.25">
      <c r="A517" s="4">
        <v>1359498</v>
      </c>
      <c r="B517" s="5" t="s">
        <v>195</v>
      </c>
      <c r="C517" s="6">
        <v>45033</v>
      </c>
      <c r="D517" s="5" t="s">
        <v>358</v>
      </c>
      <c r="E517" s="5" t="s">
        <v>300</v>
      </c>
      <c r="F517" s="5" t="s">
        <v>311</v>
      </c>
      <c r="G517" s="5" t="s">
        <v>21</v>
      </c>
      <c r="H517" s="5" t="s">
        <v>300</v>
      </c>
      <c r="I517" s="5" t="s">
        <v>33</v>
      </c>
      <c r="J517" s="5" t="s">
        <v>24</v>
      </c>
      <c r="K517" s="5" t="s">
        <v>24</v>
      </c>
      <c r="L517" s="5" t="s">
        <v>26</v>
      </c>
      <c r="M517" s="5" t="s">
        <v>33</v>
      </c>
      <c r="N517" s="5" t="s">
        <v>27</v>
      </c>
      <c r="O517" s="5">
        <v>8</v>
      </c>
      <c r="P517" s="5">
        <v>227</v>
      </c>
      <c r="Q517" s="5">
        <v>20</v>
      </c>
      <c r="R517" s="5" t="s">
        <v>28</v>
      </c>
      <c r="S517" s="5" t="s">
        <v>29</v>
      </c>
      <c r="T517" s="5" t="s">
        <v>186</v>
      </c>
      <c r="U517" s="7" t="s">
        <v>259</v>
      </c>
    </row>
    <row r="518" spans="1:21" x14ac:dyDescent="0.25">
      <c r="A518" s="4">
        <v>1359499</v>
      </c>
      <c r="B518" s="5" t="s">
        <v>47</v>
      </c>
      <c r="C518" s="6">
        <v>45034</v>
      </c>
      <c r="D518" s="5" t="s">
        <v>358</v>
      </c>
      <c r="E518" s="5" t="s">
        <v>322</v>
      </c>
      <c r="F518" s="5" t="s">
        <v>310</v>
      </c>
      <c r="G518" s="5" t="s">
        <v>21</v>
      </c>
      <c r="H518" s="5" t="s">
        <v>322</v>
      </c>
      <c r="I518" s="5" t="s">
        <v>41</v>
      </c>
      <c r="J518" s="5" t="s">
        <v>121</v>
      </c>
      <c r="K518" s="5" t="s">
        <v>121</v>
      </c>
      <c r="L518" s="5" t="s">
        <v>26</v>
      </c>
      <c r="M518" s="5" t="s">
        <v>41</v>
      </c>
      <c r="N518" s="5" t="s">
        <v>27</v>
      </c>
      <c r="O518" s="5">
        <v>14</v>
      </c>
      <c r="P518" s="5">
        <v>193</v>
      </c>
      <c r="Q518" s="5">
        <v>20</v>
      </c>
      <c r="R518" s="5" t="s">
        <v>28</v>
      </c>
      <c r="S518" s="5" t="s">
        <v>29</v>
      </c>
      <c r="T518" s="5" t="s">
        <v>174</v>
      </c>
      <c r="U518" s="7" t="s">
        <v>318</v>
      </c>
    </row>
    <row r="519" spans="1:21" x14ac:dyDescent="0.25">
      <c r="A519" s="4">
        <v>1359500</v>
      </c>
      <c r="B519" s="5" t="s">
        <v>44</v>
      </c>
      <c r="C519" s="6">
        <v>45035</v>
      </c>
      <c r="D519" s="5" t="s">
        <v>358</v>
      </c>
      <c r="E519" s="5" t="s">
        <v>188</v>
      </c>
      <c r="F519" s="5" t="s">
        <v>323</v>
      </c>
      <c r="G519" s="5" t="s">
        <v>21</v>
      </c>
      <c r="H519" s="5" t="s">
        <v>188</v>
      </c>
      <c r="I519" s="5" t="s">
        <v>276</v>
      </c>
      <c r="J519" s="5" t="s">
        <v>37</v>
      </c>
      <c r="K519" s="5" t="s">
        <v>37</v>
      </c>
      <c r="L519" s="5" t="s">
        <v>26</v>
      </c>
      <c r="M519" s="5" t="s">
        <v>276</v>
      </c>
      <c r="N519" s="5" t="s">
        <v>27</v>
      </c>
      <c r="O519" s="5">
        <v>10</v>
      </c>
      <c r="P519" s="5">
        <v>155</v>
      </c>
      <c r="Q519" s="5">
        <v>20</v>
      </c>
      <c r="R519" s="5" t="s">
        <v>28</v>
      </c>
      <c r="S519" s="5" t="s">
        <v>29</v>
      </c>
      <c r="T519" s="5" t="s">
        <v>258</v>
      </c>
      <c r="U519" s="7" t="s">
        <v>202</v>
      </c>
    </row>
    <row r="520" spans="1:21" x14ac:dyDescent="0.25">
      <c r="A520" s="4">
        <v>1359501</v>
      </c>
      <c r="B520" s="5" t="s">
        <v>30</v>
      </c>
      <c r="C520" s="6">
        <v>45036</v>
      </c>
      <c r="D520" s="5" t="s">
        <v>358</v>
      </c>
      <c r="E520" s="5" t="s">
        <v>209</v>
      </c>
      <c r="F520" s="5" t="s">
        <v>306</v>
      </c>
      <c r="G520" s="5" t="s">
        <v>21</v>
      </c>
      <c r="H520" s="5" t="s">
        <v>209</v>
      </c>
      <c r="I520" s="5" t="s">
        <v>24</v>
      </c>
      <c r="J520" s="5" t="s">
        <v>254</v>
      </c>
      <c r="K520" s="5" t="s">
        <v>254</v>
      </c>
      <c r="L520" s="5" t="s">
        <v>26</v>
      </c>
      <c r="M520" s="5" t="s">
        <v>24</v>
      </c>
      <c r="N520" s="5" t="s">
        <v>27</v>
      </c>
      <c r="O520" s="5">
        <v>24</v>
      </c>
      <c r="P520" s="5">
        <v>175</v>
      </c>
      <c r="Q520" s="5">
        <v>20</v>
      </c>
      <c r="R520" s="5" t="s">
        <v>28</v>
      </c>
      <c r="S520" s="5" t="s">
        <v>29</v>
      </c>
      <c r="T520" s="5" t="s">
        <v>105</v>
      </c>
      <c r="U520" s="7" t="s">
        <v>289</v>
      </c>
    </row>
    <row r="521" spans="1:21" x14ac:dyDescent="0.25">
      <c r="A521" s="4">
        <v>1359502</v>
      </c>
      <c r="B521" s="5" t="s">
        <v>35</v>
      </c>
      <c r="C521" s="6">
        <v>45036</v>
      </c>
      <c r="D521" s="5" t="s">
        <v>358</v>
      </c>
      <c r="E521" s="5" t="s">
        <v>93</v>
      </c>
      <c r="F521" s="5" t="s">
        <v>261</v>
      </c>
      <c r="G521" s="5" t="s">
        <v>21</v>
      </c>
      <c r="H521" s="5" t="s">
        <v>93</v>
      </c>
      <c r="I521" s="5" t="s">
        <v>25</v>
      </c>
      <c r="J521" s="5" t="s">
        <v>229</v>
      </c>
      <c r="K521" s="5" t="s">
        <v>229</v>
      </c>
      <c r="L521" s="5" t="s">
        <v>26</v>
      </c>
      <c r="M521" s="5" t="s">
        <v>229</v>
      </c>
      <c r="N521" s="5" t="s">
        <v>38</v>
      </c>
      <c r="O521" s="5">
        <v>4</v>
      </c>
      <c r="P521" s="5">
        <v>128</v>
      </c>
      <c r="Q521" s="5">
        <v>20</v>
      </c>
      <c r="R521" s="5" t="s">
        <v>28</v>
      </c>
      <c r="S521" s="5" t="s">
        <v>29</v>
      </c>
      <c r="T521" s="5" t="s">
        <v>266</v>
      </c>
      <c r="U521" s="7" t="s">
        <v>288</v>
      </c>
    </row>
    <row r="522" spans="1:21" x14ac:dyDescent="0.25">
      <c r="A522" s="4">
        <v>1359503</v>
      </c>
      <c r="B522" s="5" t="s">
        <v>49</v>
      </c>
      <c r="C522" s="6">
        <v>45037</v>
      </c>
      <c r="D522" s="5" t="s">
        <v>358</v>
      </c>
      <c r="E522" s="5" t="s">
        <v>108</v>
      </c>
      <c r="F522" s="5" t="s">
        <v>252</v>
      </c>
      <c r="G522" s="5" t="s">
        <v>21</v>
      </c>
      <c r="H522" s="5" t="s">
        <v>108</v>
      </c>
      <c r="I522" s="5" t="s">
        <v>121</v>
      </c>
      <c r="J522" s="5" t="s">
        <v>33</v>
      </c>
      <c r="K522" s="5" t="s">
        <v>33</v>
      </c>
      <c r="L522" s="5" t="s">
        <v>26</v>
      </c>
      <c r="M522" s="5" t="s">
        <v>33</v>
      </c>
      <c r="N522" s="5" t="s">
        <v>38</v>
      </c>
      <c r="O522" s="5">
        <v>7</v>
      </c>
      <c r="P522" s="5">
        <v>135</v>
      </c>
      <c r="Q522" s="5">
        <v>20</v>
      </c>
      <c r="R522" s="5" t="s">
        <v>28</v>
      </c>
      <c r="S522" s="5" t="s">
        <v>29</v>
      </c>
      <c r="T522" s="5" t="s">
        <v>270</v>
      </c>
      <c r="U522" s="7" t="s">
        <v>173</v>
      </c>
    </row>
    <row r="523" spans="1:21" x14ac:dyDescent="0.25">
      <c r="A523" s="4">
        <v>1359504</v>
      </c>
      <c r="B523" s="5" t="s">
        <v>307</v>
      </c>
      <c r="C523" s="6">
        <v>45038</v>
      </c>
      <c r="D523" s="5" t="s">
        <v>358</v>
      </c>
      <c r="E523" s="5" t="s">
        <v>145</v>
      </c>
      <c r="F523" s="5" t="s">
        <v>309</v>
      </c>
      <c r="G523" s="5" t="s">
        <v>21</v>
      </c>
      <c r="H523" s="5" t="s">
        <v>145</v>
      </c>
      <c r="I523" s="5" t="s">
        <v>277</v>
      </c>
      <c r="J523" s="5" t="s">
        <v>276</v>
      </c>
      <c r="K523" s="5" t="s">
        <v>277</v>
      </c>
      <c r="L523" s="5" t="s">
        <v>34</v>
      </c>
      <c r="M523" s="5" t="s">
        <v>277</v>
      </c>
      <c r="N523" s="5" t="s">
        <v>27</v>
      </c>
      <c r="O523" s="5">
        <v>7</v>
      </c>
      <c r="P523" s="5">
        <v>136</v>
      </c>
      <c r="Q523" s="5">
        <v>20</v>
      </c>
      <c r="R523" s="5" t="s">
        <v>28</v>
      </c>
      <c r="S523" s="5" t="s">
        <v>29</v>
      </c>
      <c r="T523" s="5" t="s">
        <v>312</v>
      </c>
      <c r="U523" s="7" t="s">
        <v>91</v>
      </c>
    </row>
    <row r="524" spans="1:21" x14ac:dyDescent="0.25">
      <c r="A524" s="4">
        <v>1359505</v>
      </c>
      <c r="B524" s="5" t="s">
        <v>39</v>
      </c>
      <c r="C524" s="6">
        <v>45038</v>
      </c>
      <c r="D524" s="5" t="s">
        <v>358</v>
      </c>
      <c r="E524" s="5" t="s">
        <v>232</v>
      </c>
      <c r="F524" s="5" t="s">
        <v>253</v>
      </c>
      <c r="G524" s="5" t="s">
        <v>21</v>
      </c>
      <c r="H524" s="5" t="s">
        <v>232</v>
      </c>
      <c r="I524" s="5" t="s">
        <v>254</v>
      </c>
      <c r="J524" s="5" t="s">
        <v>41</v>
      </c>
      <c r="K524" s="5" t="s">
        <v>41</v>
      </c>
      <c r="L524" s="5" t="s">
        <v>26</v>
      </c>
      <c r="M524" s="5" t="s">
        <v>254</v>
      </c>
      <c r="N524" s="5" t="s">
        <v>27</v>
      </c>
      <c r="O524" s="5">
        <v>13</v>
      </c>
      <c r="P524" s="5">
        <v>215</v>
      </c>
      <c r="Q524" s="5">
        <v>20</v>
      </c>
      <c r="R524" s="5" t="s">
        <v>28</v>
      </c>
      <c r="S524" s="5" t="s">
        <v>29</v>
      </c>
      <c r="T524" s="5" t="s">
        <v>155</v>
      </c>
      <c r="U524" s="7" t="s">
        <v>289</v>
      </c>
    </row>
    <row r="525" spans="1:21" x14ac:dyDescent="0.25">
      <c r="A525" s="4">
        <v>1359506</v>
      </c>
      <c r="B525" s="5" t="s">
        <v>195</v>
      </c>
      <c r="C525" s="6">
        <v>45039</v>
      </c>
      <c r="D525" s="5" t="s">
        <v>358</v>
      </c>
      <c r="E525" s="5" t="s">
        <v>142</v>
      </c>
      <c r="F525" s="5" t="s">
        <v>311</v>
      </c>
      <c r="G525" s="5" t="s">
        <v>21</v>
      </c>
      <c r="H525" s="5" t="s">
        <v>142</v>
      </c>
      <c r="I525" s="5" t="s">
        <v>24</v>
      </c>
      <c r="J525" s="5" t="s">
        <v>37</v>
      </c>
      <c r="K525" s="5" t="s">
        <v>37</v>
      </c>
      <c r="L525" s="5" t="s">
        <v>26</v>
      </c>
      <c r="M525" s="5" t="s">
        <v>24</v>
      </c>
      <c r="N525" s="5" t="s">
        <v>27</v>
      </c>
      <c r="O525" s="5">
        <v>7</v>
      </c>
      <c r="P525" s="5">
        <v>190</v>
      </c>
      <c r="Q525" s="5">
        <v>20</v>
      </c>
      <c r="R525" s="5" t="s">
        <v>28</v>
      </c>
      <c r="S525" s="5" t="s">
        <v>29</v>
      </c>
      <c r="T525" s="5" t="s">
        <v>266</v>
      </c>
      <c r="U525" s="7" t="s">
        <v>317</v>
      </c>
    </row>
    <row r="526" spans="1:21" x14ac:dyDescent="0.25">
      <c r="A526" s="4">
        <v>1359507</v>
      </c>
      <c r="B526" s="5" t="s">
        <v>42</v>
      </c>
      <c r="C526" s="6">
        <v>45039</v>
      </c>
      <c r="D526" s="5" t="s">
        <v>358</v>
      </c>
      <c r="E526" s="5" t="s">
        <v>106</v>
      </c>
      <c r="F526" s="5" t="s">
        <v>303</v>
      </c>
      <c r="G526" s="5" t="s">
        <v>21</v>
      </c>
      <c r="H526" s="5" t="s">
        <v>106</v>
      </c>
      <c r="I526" s="5" t="s">
        <v>33</v>
      </c>
      <c r="J526" s="5" t="s">
        <v>25</v>
      </c>
      <c r="K526" s="5" t="s">
        <v>25</v>
      </c>
      <c r="L526" s="5" t="s">
        <v>26</v>
      </c>
      <c r="M526" s="5" t="s">
        <v>33</v>
      </c>
      <c r="N526" s="5" t="s">
        <v>27</v>
      </c>
      <c r="O526" s="5">
        <v>49</v>
      </c>
      <c r="P526" s="5">
        <v>236</v>
      </c>
      <c r="Q526" s="5">
        <v>20</v>
      </c>
      <c r="R526" s="5" t="s">
        <v>28</v>
      </c>
      <c r="S526" s="5" t="s">
        <v>29</v>
      </c>
      <c r="T526" s="5" t="s">
        <v>174</v>
      </c>
      <c r="U526" s="7" t="s">
        <v>269</v>
      </c>
    </row>
    <row r="527" spans="1:21" x14ac:dyDescent="0.25">
      <c r="A527" s="4">
        <v>1359508</v>
      </c>
      <c r="B527" s="5" t="s">
        <v>47</v>
      </c>
      <c r="C527" s="6">
        <v>45040</v>
      </c>
      <c r="D527" s="5" t="s">
        <v>358</v>
      </c>
      <c r="E527" s="5" t="s">
        <v>152</v>
      </c>
      <c r="F527" s="5" t="s">
        <v>310</v>
      </c>
      <c r="G527" s="5" t="s">
        <v>21</v>
      </c>
      <c r="H527" s="5" t="s">
        <v>152</v>
      </c>
      <c r="I527" s="5" t="s">
        <v>229</v>
      </c>
      <c r="J527" s="5" t="s">
        <v>121</v>
      </c>
      <c r="K527" s="5" t="s">
        <v>229</v>
      </c>
      <c r="L527" s="5" t="s">
        <v>34</v>
      </c>
      <c r="M527" s="5" t="s">
        <v>229</v>
      </c>
      <c r="N527" s="5" t="s">
        <v>27</v>
      </c>
      <c r="O527" s="5">
        <v>7</v>
      </c>
      <c r="P527" s="5">
        <v>145</v>
      </c>
      <c r="Q527" s="5">
        <v>20</v>
      </c>
      <c r="R527" s="5" t="s">
        <v>28</v>
      </c>
      <c r="S527" s="5" t="s">
        <v>29</v>
      </c>
      <c r="T527" s="5" t="s">
        <v>258</v>
      </c>
      <c r="U527" s="7" t="s">
        <v>91</v>
      </c>
    </row>
    <row r="528" spans="1:21" x14ac:dyDescent="0.25">
      <c r="A528" s="4">
        <v>1359509</v>
      </c>
      <c r="B528" s="5" t="s">
        <v>77</v>
      </c>
      <c r="C528" s="6">
        <v>45041</v>
      </c>
      <c r="D528" s="5" t="s">
        <v>358</v>
      </c>
      <c r="E528" s="5" t="s">
        <v>324</v>
      </c>
      <c r="F528" s="5" t="s">
        <v>260</v>
      </c>
      <c r="G528" s="5" t="s">
        <v>21</v>
      </c>
      <c r="H528" s="5" t="s">
        <v>324</v>
      </c>
      <c r="I528" s="5" t="s">
        <v>277</v>
      </c>
      <c r="J528" s="5" t="s">
        <v>41</v>
      </c>
      <c r="K528" s="5" t="s">
        <v>41</v>
      </c>
      <c r="L528" s="5" t="s">
        <v>26</v>
      </c>
      <c r="M528" s="5" t="s">
        <v>277</v>
      </c>
      <c r="N528" s="5" t="s">
        <v>27</v>
      </c>
      <c r="O528" s="5">
        <v>55</v>
      </c>
      <c r="P528" s="5">
        <v>208</v>
      </c>
      <c r="Q528" s="5">
        <v>20</v>
      </c>
      <c r="R528" s="5" t="s">
        <v>28</v>
      </c>
      <c r="S528" s="5" t="s">
        <v>29</v>
      </c>
      <c r="T528" s="5" t="s">
        <v>105</v>
      </c>
      <c r="U528" s="7" t="s">
        <v>178</v>
      </c>
    </row>
    <row r="529" spans="1:21" x14ac:dyDescent="0.25">
      <c r="A529" s="4">
        <v>1359510</v>
      </c>
      <c r="B529" s="5" t="s">
        <v>195</v>
      </c>
      <c r="C529" s="6">
        <v>45042</v>
      </c>
      <c r="D529" s="5" t="s">
        <v>358</v>
      </c>
      <c r="E529" s="5" t="s">
        <v>248</v>
      </c>
      <c r="F529" s="5" t="s">
        <v>311</v>
      </c>
      <c r="G529" s="5" t="s">
        <v>21</v>
      </c>
      <c r="H529" s="5" t="s">
        <v>248</v>
      </c>
      <c r="I529" s="5" t="s">
        <v>25</v>
      </c>
      <c r="J529" s="5" t="s">
        <v>24</v>
      </c>
      <c r="K529" s="5" t="s">
        <v>24</v>
      </c>
      <c r="L529" s="5" t="s">
        <v>26</v>
      </c>
      <c r="M529" s="5" t="s">
        <v>25</v>
      </c>
      <c r="N529" s="5" t="s">
        <v>27</v>
      </c>
      <c r="O529" s="5">
        <v>21</v>
      </c>
      <c r="P529" s="5">
        <v>201</v>
      </c>
      <c r="Q529" s="5">
        <v>20</v>
      </c>
      <c r="R529" s="5" t="s">
        <v>28</v>
      </c>
      <c r="S529" s="5" t="s">
        <v>29</v>
      </c>
      <c r="T529" s="5" t="s">
        <v>186</v>
      </c>
      <c r="U529" s="7" t="s">
        <v>288</v>
      </c>
    </row>
    <row r="530" spans="1:21" x14ac:dyDescent="0.25">
      <c r="A530" s="4">
        <v>1359511</v>
      </c>
      <c r="B530" s="5" t="s">
        <v>44</v>
      </c>
      <c r="C530" s="6">
        <v>45043</v>
      </c>
      <c r="D530" s="5" t="s">
        <v>358</v>
      </c>
      <c r="E530" s="5" t="s">
        <v>299</v>
      </c>
      <c r="F530" s="5" t="s">
        <v>323</v>
      </c>
      <c r="G530" s="5" t="s">
        <v>21</v>
      </c>
      <c r="H530" s="5" t="s">
        <v>299</v>
      </c>
      <c r="I530" s="5" t="s">
        <v>37</v>
      </c>
      <c r="J530" s="5" t="s">
        <v>33</v>
      </c>
      <c r="K530" s="5" t="s">
        <v>37</v>
      </c>
      <c r="L530" s="5" t="s">
        <v>34</v>
      </c>
      <c r="M530" s="5" t="s">
        <v>37</v>
      </c>
      <c r="N530" s="5" t="s">
        <v>27</v>
      </c>
      <c r="O530" s="5">
        <v>32</v>
      </c>
      <c r="P530" s="5">
        <v>203</v>
      </c>
      <c r="Q530" s="5">
        <v>20</v>
      </c>
      <c r="R530" s="5" t="s">
        <v>28</v>
      </c>
      <c r="S530" s="5" t="s">
        <v>29</v>
      </c>
      <c r="T530" s="5" t="s">
        <v>312</v>
      </c>
      <c r="U530" s="7" t="s">
        <v>202</v>
      </c>
    </row>
    <row r="531" spans="1:21" x14ac:dyDescent="0.25">
      <c r="A531" s="4">
        <v>1359512</v>
      </c>
      <c r="B531" s="5" t="s">
        <v>30</v>
      </c>
      <c r="C531" s="6">
        <v>45044</v>
      </c>
      <c r="D531" s="5" t="s">
        <v>358</v>
      </c>
      <c r="E531" s="5" t="s">
        <v>188</v>
      </c>
      <c r="F531" s="5" t="s">
        <v>306</v>
      </c>
      <c r="G531" s="5" t="s">
        <v>21</v>
      </c>
      <c r="H531" s="5" t="s">
        <v>188</v>
      </c>
      <c r="I531" s="5" t="s">
        <v>276</v>
      </c>
      <c r="J531" s="5" t="s">
        <v>254</v>
      </c>
      <c r="K531" s="5" t="s">
        <v>254</v>
      </c>
      <c r="L531" s="5" t="s">
        <v>26</v>
      </c>
      <c r="M531" s="5" t="s">
        <v>276</v>
      </c>
      <c r="N531" s="5" t="s">
        <v>27</v>
      </c>
      <c r="O531" s="5">
        <v>56</v>
      </c>
      <c r="P531" s="5">
        <v>258</v>
      </c>
      <c r="Q531" s="5">
        <v>20</v>
      </c>
      <c r="R531" s="5" t="s">
        <v>28</v>
      </c>
      <c r="S531" s="5" t="s">
        <v>29</v>
      </c>
      <c r="T531" s="5" t="s">
        <v>174</v>
      </c>
      <c r="U531" s="7" t="s">
        <v>318</v>
      </c>
    </row>
    <row r="532" spans="1:21" x14ac:dyDescent="0.25">
      <c r="A532" s="4">
        <v>1359513</v>
      </c>
      <c r="B532" s="5" t="s">
        <v>42</v>
      </c>
      <c r="C532" s="6">
        <v>45045</v>
      </c>
      <c r="D532" s="5" t="s">
        <v>358</v>
      </c>
      <c r="E532" s="5" t="s">
        <v>325</v>
      </c>
      <c r="F532" s="5" t="s">
        <v>303</v>
      </c>
      <c r="G532" s="5" t="s">
        <v>21</v>
      </c>
      <c r="H532" s="5" t="s">
        <v>325</v>
      </c>
      <c r="I532" s="5" t="s">
        <v>25</v>
      </c>
      <c r="J532" s="5" t="s">
        <v>277</v>
      </c>
      <c r="K532" s="5" t="s">
        <v>277</v>
      </c>
      <c r="L532" s="5" t="s">
        <v>26</v>
      </c>
      <c r="M532" s="5" t="s">
        <v>277</v>
      </c>
      <c r="N532" s="5" t="s">
        <v>38</v>
      </c>
      <c r="O532" s="5">
        <v>7</v>
      </c>
      <c r="P532" s="5">
        <v>180</v>
      </c>
      <c r="Q532" s="5">
        <v>20</v>
      </c>
      <c r="R532" s="5" t="s">
        <v>28</v>
      </c>
      <c r="S532" s="5" t="s">
        <v>29</v>
      </c>
      <c r="T532" s="5" t="s">
        <v>290</v>
      </c>
      <c r="U532" s="7" t="s">
        <v>289</v>
      </c>
    </row>
    <row r="533" spans="1:21" x14ac:dyDescent="0.25">
      <c r="A533" s="4">
        <v>1359514</v>
      </c>
      <c r="B533" s="5" t="s">
        <v>35</v>
      </c>
      <c r="C533" s="6">
        <v>45045</v>
      </c>
      <c r="D533" s="5" t="s">
        <v>358</v>
      </c>
      <c r="E533" s="5" t="s">
        <v>94</v>
      </c>
      <c r="F533" s="5" t="s">
        <v>261</v>
      </c>
      <c r="G533" s="5" t="s">
        <v>21</v>
      </c>
      <c r="H533" s="5" t="s">
        <v>94</v>
      </c>
      <c r="I533" s="5" t="s">
        <v>121</v>
      </c>
      <c r="J533" s="5" t="s">
        <v>229</v>
      </c>
      <c r="K533" s="5" t="s">
        <v>121</v>
      </c>
      <c r="L533" s="5" t="s">
        <v>34</v>
      </c>
      <c r="M533" s="5" t="s">
        <v>121</v>
      </c>
      <c r="N533" s="5" t="s">
        <v>27</v>
      </c>
      <c r="O533" s="5">
        <v>9</v>
      </c>
      <c r="P533" s="5">
        <v>198</v>
      </c>
      <c r="Q533" s="5">
        <v>20</v>
      </c>
      <c r="R533" s="5" t="s">
        <v>28</v>
      </c>
      <c r="S533" s="5" t="s">
        <v>29</v>
      </c>
      <c r="T533" s="5" t="s">
        <v>266</v>
      </c>
      <c r="U533" s="7" t="s">
        <v>259</v>
      </c>
    </row>
    <row r="534" spans="1:21" x14ac:dyDescent="0.25">
      <c r="A534" s="4">
        <v>1359515</v>
      </c>
      <c r="B534" s="5" t="s">
        <v>49</v>
      </c>
      <c r="C534" s="6">
        <v>45046</v>
      </c>
      <c r="D534" s="5" t="s">
        <v>358</v>
      </c>
      <c r="E534" s="5" t="s">
        <v>300</v>
      </c>
      <c r="F534" s="5" t="s">
        <v>252</v>
      </c>
      <c r="G534" s="5" t="s">
        <v>21</v>
      </c>
      <c r="H534" s="5" t="s">
        <v>300</v>
      </c>
      <c r="I534" s="5" t="s">
        <v>33</v>
      </c>
      <c r="J534" s="5" t="s">
        <v>254</v>
      </c>
      <c r="K534" s="5" t="s">
        <v>33</v>
      </c>
      <c r="L534" s="5" t="s">
        <v>34</v>
      </c>
      <c r="M534" s="5" t="s">
        <v>254</v>
      </c>
      <c r="N534" s="5" t="s">
        <v>38</v>
      </c>
      <c r="O534" s="5">
        <v>4</v>
      </c>
      <c r="P534" s="5">
        <v>201</v>
      </c>
      <c r="Q534" s="5">
        <v>20</v>
      </c>
      <c r="R534" s="5" t="s">
        <v>28</v>
      </c>
      <c r="S534" s="5" t="s">
        <v>29</v>
      </c>
      <c r="T534" s="5" t="s">
        <v>91</v>
      </c>
      <c r="U534" s="7" t="s">
        <v>237</v>
      </c>
    </row>
    <row r="535" spans="1:21" x14ac:dyDescent="0.25">
      <c r="A535" s="4">
        <v>1359516</v>
      </c>
      <c r="B535" s="5" t="s">
        <v>39</v>
      </c>
      <c r="C535" s="6">
        <v>45046</v>
      </c>
      <c r="D535" s="5" t="s">
        <v>358</v>
      </c>
      <c r="E535" s="5" t="s">
        <v>299</v>
      </c>
      <c r="F535" s="5" t="s">
        <v>253</v>
      </c>
      <c r="G535" s="5" t="s">
        <v>21</v>
      </c>
      <c r="H535" s="5" t="s">
        <v>299</v>
      </c>
      <c r="I535" s="5" t="s">
        <v>37</v>
      </c>
      <c r="J535" s="5" t="s">
        <v>41</v>
      </c>
      <c r="K535" s="5" t="s">
        <v>37</v>
      </c>
      <c r="L535" s="5" t="s">
        <v>34</v>
      </c>
      <c r="M535" s="5" t="s">
        <v>41</v>
      </c>
      <c r="N535" s="5" t="s">
        <v>38</v>
      </c>
      <c r="O535" s="5">
        <v>6</v>
      </c>
      <c r="P535" s="5">
        <v>213</v>
      </c>
      <c r="Q535" s="5">
        <v>20</v>
      </c>
      <c r="R535" s="5" t="s">
        <v>28</v>
      </c>
      <c r="S535" s="5" t="s">
        <v>29</v>
      </c>
      <c r="T535" s="5" t="s">
        <v>318</v>
      </c>
      <c r="U535" s="7" t="s">
        <v>173</v>
      </c>
    </row>
    <row r="536" spans="1:21" x14ac:dyDescent="0.25">
      <c r="A536" s="4">
        <v>1359517</v>
      </c>
      <c r="B536" s="5" t="s">
        <v>307</v>
      </c>
      <c r="C536" s="6">
        <v>45047</v>
      </c>
      <c r="D536" s="5" t="s">
        <v>358</v>
      </c>
      <c r="E536" s="5" t="s">
        <v>114</v>
      </c>
      <c r="F536" s="5" t="s">
        <v>309</v>
      </c>
      <c r="G536" s="5" t="s">
        <v>21</v>
      </c>
      <c r="H536" s="5" t="s">
        <v>114</v>
      </c>
      <c r="I536" s="5" t="s">
        <v>24</v>
      </c>
      <c r="J536" s="5" t="s">
        <v>276</v>
      </c>
      <c r="K536" s="5" t="s">
        <v>24</v>
      </c>
      <c r="L536" s="5" t="s">
        <v>34</v>
      </c>
      <c r="M536" s="5" t="s">
        <v>24</v>
      </c>
      <c r="N536" s="5" t="s">
        <v>27</v>
      </c>
      <c r="O536" s="5">
        <v>18</v>
      </c>
      <c r="P536" s="5">
        <v>127</v>
      </c>
      <c r="Q536" s="5">
        <v>20</v>
      </c>
      <c r="R536" s="5" t="s">
        <v>28</v>
      </c>
      <c r="S536" s="5" t="s">
        <v>29</v>
      </c>
      <c r="T536" s="5" t="s">
        <v>105</v>
      </c>
      <c r="U536" s="7" t="s">
        <v>289</v>
      </c>
    </row>
    <row r="537" spans="1:21" x14ac:dyDescent="0.25">
      <c r="A537" s="4">
        <v>1359518</v>
      </c>
      <c r="B537" s="5" t="s">
        <v>77</v>
      </c>
      <c r="C537" s="6">
        <v>45048</v>
      </c>
      <c r="D537" s="5" t="s">
        <v>358</v>
      </c>
      <c r="E537" s="5" t="s">
        <v>207</v>
      </c>
      <c r="F537" s="5" t="s">
        <v>260</v>
      </c>
      <c r="G537" s="5" t="s">
        <v>21</v>
      </c>
      <c r="H537" s="5" t="s">
        <v>207</v>
      </c>
      <c r="I537" s="5" t="s">
        <v>229</v>
      </c>
      <c r="J537" s="5" t="s">
        <v>277</v>
      </c>
      <c r="K537" s="5" t="s">
        <v>229</v>
      </c>
      <c r="L537" s="5" t="s">
        <v>34</v>
      </c>
      <c r="M537" s="5" t="s">
        <v>229</v>
      </c>
      <c r="N537" s="5" t="s">
        <v>27</v>
      </c>
      <c r="O537" s="5">
        <v>5</v>
      </c>
      <c r="P537" s="5">
        <v>131</v>
      </c>
      <c r="Q537" s="5">
        <v>20</v>
      </c>
      <c r="R537" s="5" t="s">
        <v>28</v>
      </c>
      <c r="S537" s="5" t="s">
        <v>29</v>
      </c>
      <c r="T537" s="5" t="s">
        <v>266</v>
      </c>
      <c r="U537" s="7" t="s">
        <v>288</v>
      </c>
    </row>
    <row r="538" spans="1:21" x14ac:dyDescent="0.25">
      <c r="A538" s="4">
        <v>1359519</v>
      </c>
      <c r="B538" s="5" t="s">
        <v>307</v>
      </c>
      <c r="C538" s="6">
        <v>45049</v>
      </c>
      <c r="D538" s="5" t="s">
        <v>358</v>
      </c>
      <c r="E538" s="5" t="s">
        <v>29</v>
      </c>
      <c r="F538" s="5" t="s">
        <v>309</v>
      </c>
      <c r="G538" s="5" t="s">
        <v>21</v>
      </c>
      <c r="H538" s="5" t="s">
        <v>29</v>
      </c>
      <c r="I538" s="5" t="s">
        <v>276</v>
      </c>
      <c r="J538" s="5" t="s">
        <v>33</v>
      </c>
      <c r="K538" s="5" t="s">
        <v>33</v>
      </c>
      <c r="L538" s="5" t="s">
        <v>26</v>
      </c>
      <c r="M538" s="5" t="s">
        <v>29</v>
      </c>
      <c r="N538" s="5" t="s">
        <v>99</v>
      </c>
      <c r="O538" s="5" t="s">
        <v>29</v>
      </c>
      <c r="P538" s="5" t="s">
        <v>29</v>
      </c>
      <c r="Q538" s="5" t="s">
        <v>29</v>
      </c>
      <c r="R538" s="5" t="s">
        <v>28</v>
      </c>
      <c r="S538" s="5" t="s">
        <v>29</v>
      </c>
      <c r="T538" s="5" t="s">
        <v>105</v>
      </c>
      <c r="U538" s="7" t="s">
        <v>290</v>
      </c>
    </row>
    <row r="539" spans="1:21" x14ac:dyDescent="0.25">
      <c r="A539" s="4">
        <v>1359520</v>
      </c>
      <c r="B539" s="5" t="s">
        <v>30</v>
      </c>
      <c r="C539" s="6">
        <v>45049</v>
      </c>
      <c r="D539" s="5" t="s">
        <v>358</v>
      </c>
      <c r="E539" s="5" t="s">
        <v>225</v>
      </c>
      <c r="F539" s="5" t="s">
        <v>306</v>
      </c>
      <c r="G539" s="5" t="s">
        <v>21</v>
      </c>
      <c r="H539" s="5" t="s">
        <v>225</v>
      </c>
      <c r="I539" s="5" t="s">
        <v>254</v>
      </c>
      <c r="J539" s="5" t="s">
        <v>41</v>
      </c>
      <c r="K539" s="5" t="s">
        <v>41</v>
      </c>
      <c r="L539" s="5" t="s">
        <v>26</v>
      </c>
      <c r="M539" s="5" t="s">
        <v>41</v>
      </c>
      <c r="N539" s="5" t="s">
        <v>38</v>
      </c>
      <c r="O539" s="5">
        <v>6</v>
      </c>
      <c r="P539" s="5">
        <v>215</v>
      </c>
      <c r="Q539" s="5">
        <v>20</v>
      </c>
      <c r="R539" s="5" t="s">
        <v>28</v>
      </c>
      <c r="S539" s="5" t="s">
        <v>29</v>
      </c>
      <c r="T539" s="5" t="s">
        <v>258</v>
      </c>
      <c r="U539" s="7" t="s">
        <v>91</v>
      </c>
    </row>
    <row r="540" spans="1:21" x14ac:dyDescent="0.25">
      <c r="A540" s="4">
        <v>1359521</v>
      </c>
      <c r="B540" s="5" t="s">
        <v>47</v>
      </c>
      <c r="C540" s="6">
        <v>45050</v>
      </c>
      <c r="D540" s="5" t="s">
        <v>358</v>
      </c>
      <c r="E540" s="5" t="s">
        <v>248</v>
      </c>
      <c r="F540" s="5" t="s">
        <v>310</v>
      </c>
      <c r="G540" s="5" t="s">
        <v>21</v>
      </c>
      <c r="H540" s="5" t="s">
        <v>248</v>
      </c>
      <c r="I540" s="5" t="s">
        <v>25</v>
      </c>
      <c r="J540" s="5" t="s">
        <v>121</v>
      </c>
      <c r="K540" s="5" t="s">
        <v>25</v>
      </c>
      <c r="L540" s="5" t="s">
        <v>34</v>
      </c>
      <c r="M540" s="5" t="s">
        <v>25</v>
      </c>
      <c r="N540" s="5" t="s">
        <v>27</v>
      </c>
      <c r="O540" s="5">
        <v>5</v>
      </c>
      <c r="P540" s="5">
        <v>172</v>
      </c>
      <c r="Q540" s="5">
        <v>20</v>
      </c>
      <c r="R540" s="5" t="s">
        <v>28</v>
      </c>
      <c r="S540" s="5" t="s">
        <v>29</v>
      </c>
      <c r="T540" s="5" t="s">
        <v>186</v>
      </c>
      <c r="U540" s="7" t="s">
        <v>266</v>
      </c>
    </row>
    <row r="541" spans="1:21" x14ac:dyDescent="0.25">
      <c r="A541" s="4">
        <v>1359522</v>
      </c>
      <c r="B541" s="5" t="s">
        <v>44</v>
      </c>
      <c r="C541" s="6">
        <v>45051</v>
      </c>
      <c r="D541" s="5" t="s">
        <v>358</v>
      </c>
      <c r="E541" s="5" t="s">
        <v>197</v>
      </c>
      <c r="F541" s="5" t="s">
        <v>323</v>
      </c>
      <c r="G541" s="5" t="s">
        <v>21</v>
      </c>
      <c r="H541" s="5" t="s">
        <v>197</v>
      </c>
      <c r="I541" s="5" t="s">
        <v>37</v>
      </c>
      <c r="J541" s="5" t="s">
        <v>277</v>
      </c>
      <c r="K541" s="5" t="s">
        <v>37</v>
      </c>
      <c r="L541" s="5" t="s">
        <v>34</v>
      </c>
      <c r="M541" s="5" t="s">
        <v>277</v>
      </c>
      <c r="N541" s="5" t="s">
        <v>38</v>
      </c>
      <c r="O541" s="5">
        <v>9</v>
      </c>
      <c r="P541" s="5">
        <v>119</v>
      </c>
      <c r="Q541" s="5">
        <v>20</v>
      </c>
      <c r="R541" s="5" t="s">
        <v>28</v>
      </c>
      <c r="S541" s="5" t="s">
        <v>29</v>
      </c>
      <c r="T541" s="5" t="s">
        <v>270</v>
      </c>
      <c r="U541" s="7" t="s">
        <v>173</v>
      </c>
    </row>
    <row r="542" spans="1:21" x14ac:dyDescent="0.25">
      <c r="A542" s="4">
        <v>1359523</v>
      </c>
      <c r="B542" s="5" t="s">
        <v>49</v>
      </c>
      <c r="C542" s="6">
        <v>45052</v>
      </c>
      <c r="D542" s="5" t="s">
        <v>358</v>
      </c>
      <c r="E542" s="5" t="s">
        <v>326</v>
      </c>
      <c r="F542" s="5" t="s">
        <v>252</v>
      </c>
      <c r="G542" s="5" t="s">
        <v>21</v>
      </c>
      <c r="H542" s="5" t="s">
        <v>326</v>
      </c>
      <c r="I542" s="5" t="s">
        <v>41</v>
      </c>
      <c r="J542" s="5" t="s">
        <v>33</v>
      </c>
      <c r="K542" s="5" t="s">
        <v>33</v>
      </c>
      <c r="L542" s="5" t="s">
        <v>26</v>
      </c>
      <c r="M542" s="5" t="s">
        <v>33</v>
      </c>
      <c r="N542" s="5" t="s">
        <v>38</v>
      </c>
      <c r="O542" s="5">
        <v>6</v>
      </c>
      <c r="P542" s="5">
        <v>140</v>
      </c>
      <c r="Q542" s="5">
        <v>20</v>
      </c>
      <c r="R542" s="5" t="s">
        <v>28</v>
      </c>
      <c r="S542" s="5" t="s">
        <v>29</v>
      </c>
      <c r="T542" s="5" t="s">
        <v>113</v>
      </c>
      <c r="U542" s="7" t="s">
        <v>259</v>
      </c>
    </row>
    <row r="543" spans="1:21" x14ac:dyDescent="0.25">
      <c r="A543" s="4">
        <v>1359524</v>
      </c>
      <c r="B543" s="5" t="s">
        <v>35</v>
      </c>
      <c r="C543" s="6">
        <v>45052</v>
      </c>
      <c r="D543" s="5" t="s">
        <v>358</v>
      </c>
      <c r="E543" s="5" t="s">
        <v>327</v>
      </c>
      <c r="F543" s="5" t="s">
        <v>261</v>
      </c>
      <c r="G543" s="5" t="s">
        <v>21</v>
      </c>
      <c r="H543" s="5" t="s">
        <v>327</v>
      </c>
      <c r="I543" s="5" t="s">
        <v>24</v>
      </c>
      <c r="J543" s="5" t="s">
        <v>229</v>
      </c>
      <c r="K543" s="5" t="s">
        <v>24</v>
      </c>
      <c r="L543" s="5" t="s">
        <v>34</v>
      </c>
      <c r="M543" s="5" t="s">
        <v>229</v>
      </c>
      <c r="N543" s="5" t="s">
        <v>38</v>
      </c>
      <c r="O543" s="5">
        <v>7</v>
      </c>
      <c r="P543" s="5">
        <v>182</v>
      </c>
      <c r="Q543" s="5">
        <v>20</v>
      </c>
      <c r="R543" s="5" t="s">
        <v>28</v>
      </c>
      <c r="S543" s="5" t="s">
        <v>29</v>
      </c>
      <c r="T543" s="5" t="s">
        <v>91</v>
      </c>
      <c r="U543" s="7" t="s">
        <v>202</v>
      </c>
    </row>
    <row r="544" spans="1:21" x14ac:dyDescent="0.25">
      <c r="A544" s="4">
        <v>1359525</v>
      </c>
      <c r="B544" s="5" t="s">
        <v>77</v>
      </c>
      <c r="C544" s="6">
        <v>45053</v>
      </c>
      <c r="D544" s="5" t="s">
        <v>358</v>
      </c>
      <c r="E544" s="5" t="s">
        <v>242</v>
      </c>
      <c r="F544" s="5" t="s">
        <v>260</v>
      </c>
      <c r="G544" s="5" t="s">
        <v>21</v>
      </c>
      <c r="H544" s="5" t="s">
        <v>242</v>
      </c>
      <c r="I544" s="5" t="s">
        <v>277</v>
      </c>
      <c r="J544" s="5" t="s">
        <v>276</v>
      </c>
      <c r="K544" s="5" t="s">
        <v>276</v>
      </c>
      <c r="L544" s="5" t="s">
        <v>26</v>
      </c>
      <c r="M544" s="5" t="s">
        <v>277</v>
      </c>
      <c r="N544" s="5" t="s">
        <v>27</v>
      </c>
      <c r="O544" s="5">
        <v>56</v>
      </c>
      <c r="P544" s="5">
        <v>228</v>
      </c>
      <c r="Q544" s="5">
        <v>20</v>
      </c>
      <c r="R544" s="5" t="s">
        <v>28</v>
      </c>
      <c r="S544" s="5" t="s">
        <v>29</v>
      </c>
      <c r="T544" s="5" t="s">
        <v>105</v>
      </c>
      <c r="U544" s="7" t="s">
        <v>178</v>
      </c>
    </row>
    <row r="545" spans="1:21" x14ac:dyDescent="0.25">
      <c r="A545" s="4">
        <v>1359526</v>
      </c>
      <c r="B545" s="5" t="s">
        <v>44</v>
      </c>
      <c r="C545" s="6">
        <v>45053</v>
      </c>
      <c r="D545" s="5" t="s">
        <v>358</v>
      </c>
      <c r="E545" s="5" t="s">
        <v>328</v>
      </c>
      <c r="F545" s="5" t="s">
        <v>323</v>
      </c>
      <c r="G545" s="5" t="s">
        <v>21</v>
      </c>
      <c r="H545" s="5" t="s">
        <v>328</v>
      </c>
      <c r="I545" s="5" t="s">
        <v>37</v>
      </c>
      <c r="J545" s="5" t="s">
        <v>121</v>
      </c>
      <c r="K545" s="5" t="s">
        <v>37</v>
      </c>
      <c r="L545" s="5" t="s">
        <v>34</v>
      </c>
      <c r="M545" s="5" t="s">
        <v>121</v>
      </c>
      <c r="N545" s="5" t="s">
        <v>38</v>
      </c>
      <c r="O545" s="5">
        <v>4</v>
      </c>
      <c r="P545" s="5">
        <v>215</v>
      </c>
      <c r="Q545" s="5">
        <v>20</v>
      </c>
      <c r="R545" s="5" t="s">
        <v>28</v>
      </c>
      <c r="S545" s="5" t="s">
        <v>29</v>
      </c>
      <c r="T545" s="5" t="s">
        <v>174</v>
      </c>
      <c r="U545" s="7" t="s">
        <v>318</v>
      </c>
    </row>
    <row r="546" spans="1:21" x14ac:dyDescent="0.25">
      <c r="A546" s="4">
        <v>1359527</v>
      </c>
      <c r="B546" s="5" t="s">
        <v>42</v>
      </c>
      <c r="C546" s="6">
        <v>45054</v>
      </c>
      <c r="D546" s="5" t="s">
        <v>358</v>
      </c>
      <c r="E546" s="5" t="s">
        <v>160</v>
      </c>
      <c r="F546" s="5" t="s">
        <v>303</v>
      </c>
      <c r="G546" s="5" t="s">
        <v>21</v>
      </c>
      <c r="H546" s="5" t="s">
        <v>160</v>
      </c>
      <c r="I546" s="5" t="s">
        <v>254</v>
      </c>
      <c r="J546" s="5" t="s">
        <v>25</v>
      </c>
      <c r="K546" s="5" t="s">
        <v>254</v>
      </c>
      <c r="L546" s="5" t="s">
        <v>34</v>
      </c>
      <c r="M546" s="5" t="s">
        <v>25</v>
      </c>
      <c r="N546" s="5" t="s">
        <v>38</v>
      </c>
      <c r="O546" s="5">
        <v>5</v>
      </c>
      <c r="P546" s="5">
        <v>180</v>
      </c>
      <c r="Q546" s="5">
        <v>20</v>
      </c>
      <c r="R546" s="5" t="s">
        <v>28</v>
      </c>
      <c r="S546" s="5" t="s">
        <v>29</v>
      </c>
      <c r="T546" s="5" t="s">
        <v>312</v>
      </c>
      <c r="U546" s="7" t="s">
        <v>258</v>
      </c>
    </row>
    <row r="547" spans="1:21" x14ac:dyDescent="0.25">
      <c r="A547" s="4">
        <v>1359528</v>
      </c>
      <c r="B547" s="5" t="s">
        <v>39</v>
      </c>
      <c r="C547" s="6">
        <v>45055</v>
      </c>
      <c r="D547" s="5" t="s">
        <v>358</v>
      </c>
      <c r="E547" s="5" t="s">
        <v>181</v>
      </c>
      <c r="F547" s="5" t="s">
        <v>253</v>
      </c>
      <c r="G547" s="5" t="s">
        <v>21</v>
      </c>
      <c r="H547" s="5" t="s">
        <v>181</v>
      </c>
      <c r="I547" s="5" t="s">
        <v>24</v>
      </c>
      <c r="J547" s="5" t="s">
        <v>41</v>
      </c>
      <c r="K547" s="5" t="s">
        <v>41</v>
      </c>
      <c r="L547" s="5" t="s">
        <v>26</v>
      </c>
      <c r="M547" s="5" t="s">
        <v>41</v>
      </c>
      <c r="N547" s="5" t="s">
        <v>38</v>
      </c>
      <c r="O547" s="5">
        <v>6</v>
      </c>
      <c r="P547" s="5">
        <v>200</v>
      </c>
      <c r="Q547" s="5">
        <v>20</v>
      </c>
      <c r="R547" s="5" t="s">
        <v>28</v>
      </c>
      <c r="S547" s="5" t="s">
        <v>29</v>
      </c>
      <c r="T547" s="5" t="s">
        <v>270</v>
      </c>
      <c r="U547" s="7" t="s">
        <v>173</v>
      </c>
    </row>
    <row r="548" spans="1:21" x14ac:dyDescent="0.25">
      <c r="A548" s="4">
        <v>1359529</v>
      </c>
      <c r="B548" s="5" t="s">
        <v>49</v>
      </c>
      <c r="C548" s="6">
        <v>45056</v>
      </c>
      <c r="D548" s="5" t="s">
        <v>358</v>
      </c>
      <c r="E548" s="5" t="s">
        <v>108</v>
      </c>
      <c r="F548" s="5" t="s">
        <v>252</v>
      </c>
      <c r="G548" s="5" t="s">
        <v>21</v>
      </c>
      <c r="H548" s="5" t="s">
        <v>108</v>
      </c>
      <c r="I548" s="5" t="s">
        <v>33</v>
      </c>
      <c r="J548" s="5" t="s">
        <v>229</v>
      </c>
      <c r="K548" s="5" t="s">
        <v>33</v>
      </c>
      <c r="L548" s="5" t="s">
        <v>34</v>
      </c>
      <c r="M548" s="5" t="s">
        <v>33</v>
      </c>
      <c r="N548" s="5" t="s">
        <v>27</v>
      </c>
      <c r="O548" s="5">
        <v>27</v>
      </c>
      <c r="P548" s="5">
        <v>168</v>
      </c>
      <c r="Q548" s="5">
        <v>20</v>
      </c>
      <c r="R548" s="5" t="s">
        <v>28</v>
      </c>
      <c r="S548" s="5" t="s">
        <v>29</v>
      </c>
      <c r="T548" s="5" t="s">
        <v>155</v>
      </c>
      <c r="U548" s="7" t="s">
        <v>290</v>
      </c>
    </row>
    <row r="549" spans="1:21" x14ac:dyDescent="0.25">
      <c r="A549" s="4">
        <v>1359530</v>
      </c>
      <c r="B549" s="5" t="s">
        <v>42</v>
      </c>
      <c r="C549" s="6">
        <v>45057</v>
      </c>
      <c r="D549" s="5" t="s">
        <v>358</v>
      </c>
      <c r="E549" s="5" t="s">
        <v>299</v>
      </c>
      <c r="F549" s="5" t="s">
        <v>303</v>
      </c>
      <c r="G549" s="5" t="s">
        <v>21</v>
      </c>
      <c r="H549" s="5" t="s">
        <v>299</v>
      </c>
      <c r="I549" s="5" t="s">
        <v>25</v>
      </c>
      <c r="J549" s="5" t="s">
        <v>37</v>
      </c>
      <c r="K549" s="5" t="s">
        <v>37</v>
      </c>
      <c r="L549" s="5" t="s">
        <v>26</v>
      </c>
      <c r="M549" s="5" t="s">
        <v>37</v>
      </c>
      <c r="N549" s="5" t="s">
        <v>38</v>
      </c>
      <c r="O549" s="5">
        <v>9</v>
      </c>
      <c r="P549" s="5">
        <v>150</v>
      </c>
      <c r="Q549" s="5">
        <v>20</v>
      </c>
      <c r="R549" s="5" t="s">
        <v>28</v>
      </c>
      <c r="S549" s="5" t="s">
        <v>29</v>
      </c>
      <c r="T549" s="5" t="s">
        <v>91</v>
      </c>
      <c r="U549" s="7" t="s">
        <v>317</v>
      </c>
    </row>
    <row r="550" spans="1:21" x14ac:dyDescent="0.25">
      <c r="A550" s="4">
        <v>1359531</v>
      </c>
      <c r="B550" s="5" t="s">
        <v>39</v>
      </c>
      <c r="C550" s="6">
        <v>45058</v>
      </c>
      <c r="D550" s="5" t="s">
        <v>358</v>
      </c>
      <c r="E550" s="5" t="s">
        <v>181</v>
      </c>
      <c r="F550" s="5" t="s">
        <v>253</v>
      </c>
      <c r="G550" s="5" t="s">
        <v>21</v>
      </c>
      <c r="H550" s="5" t="s">
        <v>181</v>
      </c>
      <c r="I550" s="5" t="s">
        <v>41</v>
      </c>
      <c r="J550" s="5" t="s">
        <v>277</v>
      </c>
      <c r="K550" s="5" t="s">
        <v>277</v>
      </c>
      <c r="L550" s="5" t="s">
        <v>26</v>
      </c>
      <c r="M550" s="5" t="s">
        <v>41</v>
      </c>
      <c r="N550" s="5" t="s">
        <v>27</v>
      </c>
      <c r="O550" s="5">
        <v>27</v>
      </c>
      <c r="P550" s="5">
        <v>219</v>
      </c>
      <c r="Q550" s="5">
        <v>20</v>
      </c>
      <c r="R550" s="5" t="s">
        <v>28</v>
      </c>
      <c r="S550" s="5" t="s">
        <v>29</v>
      </c>
      <c r="T550" s="5" t="s">
        <v>174</v>
      </c>
      <c r="U550" s="7" t="s">
        <v>269</v>
      </c>
    </row>
    <row r="551" spans="1:21" x14ac:dyDescent="0.25">
      <c r="A551" s="4">
        <v>1359532</v>
      </c>
      <c r="B551" s="5" t="s">
        <v>47</v>
      </c>
      <c r="C551" s="6">
        <v>45059</v>
      </c>
      <c r="D551" s="5" t="s">
        <v>358</v>
      </c>
      <c r="E551" s="5" t="s">
        <v>329</v>
      </c>
      <c r="F551" s="5" t="s">
        <v>310</v>
      </c>
      <c r="G551" s="5" t="s">
        <v>21</v>
      </c>
      <c r="H551" s="5" t="s">
        <v>329</v>
      </c>
      <c r="I551" s="5" t="s">
        <v>121</v>
      </c>
      <c r="J551" s="5" t="s">
        <v>276</v>
      </c>
      <c r="K551" s="5" t="s">
        <v>121</v>
      </c>
      <c r="L551" s="5" t="s">
        <v>34</v>
      </c>
      <c r="M551" s="5" t="s">
        <v>276</v>
      </c>
      <c r="N551" s="5" t="s">
        <v>38</v>
      </c>
      <c r="O551" s="5">
        <v>7</v>
      </c>
      <c r="P551" s="5">
        <v>183</v>
      </c>
      <c r="Q551" s="5">
        <v>20</v>
      </c>
      <c r="R551" s="5" t="s">
        <v>28</v>
      </c>
      <c r="S551" s="5" t="s">
        <v>29</v>
      </c>
      <c r="T551" s="5" t="s">
        <v>312</v>
      </c>
      <c r="U551" s="7" t="s">
        <v>258</v>
      </c>
    </row>
    <row r="552" spans="1:21" x14ac:dyDescent="0.25">
      <c r="A552" s="4">
        <v>1359533</v>
      </c>
      <c r="B552" s="5" t="s">
        <v>35</v>
      </c>
      <c r="C552" s="6">
        <v>45059</v>
      </c>
      <c r="D552" s="5" t="s">
        <v>358</v>
      </c>
      <c r="E552" s="5" t="s">
        <v>330</v>
      </c>
      <c r="F552" s="5" t="s">
        <v>261</v>
      </c>
      <c r="G552" s="5" t="s">
        <v>21</v>
      </c>
      <c r="H552" s="5" t="s">
        <v>330</v>
      </c>
      <c r="I552" s="5" t="s">
        <v>254</v>
      </c>
      <c r="J552" s="5" t="s">
        <v>229</v>
      </c>
      <c r="K552" s="5" t="s">
        <v>229</v>
      </c>
      <c r="L552" s="5" t="s">
        <v>26</v>
      </c>
      <c r="M552" s="5" t="s">
        <v>254</v>
      </c>
      <c r="N552" s="5" t="s">
        <v>27</v>
      </c>
      <c r="O552" s="5">
        <v>31</v>
      </c>
      <c r="P552" s="5">
        <v>168</v>
      </c>
      <c r="Q552" s="5">
        <v>20</v>
      </c>
      <c r="R552" s="5" t="s">
        <v>28</v>
      </c>
      <c r="S552" s="5" t="s">
        <v>29</v>
      </c>
      <c r="T552" s="5" t="s">
        <v>155</v>
      </c>
      <c r="U552" s="7" t="s">
        <v>290</v>
      </c>
    </row>
    <row r="553" spans="1:21" x14ac:dyDescent="0.25">
      <c r="A553" s="4">
        <v>1359534</v>
      </c>
      <c r="B553" s="5" t="s">
        <v>44</v>
      </c>
      <c r="C553" s="6">
        <v>45060</v>
      </c>
      <c r="D553" s="5" t="s">
        <v>358</v>
      </c>
      <c r="E553" s="5" t="s">
        <v>331</v>
      </c>
      <c r="F553" s="5" t="s">
        <v>323</v>
      </c>
      <c r="G553" s="5" t="s">
        <v>21</v>
      </c>
      <c r="H553" s="5" t="s">
        <v>331</v>
      </c>
      <c r="I553" s="5" t="s">
        <v>24</v>
      </c>
      <c r="J553" s="5" t="s">
        <v>37</v>
      </c>
      <c r="K553" s="5" t="s">
        <v>24</v>
      </c>
      <c r="L553" s="5" t="s">
        <v>34</v>
      </c>
      <c r="M553" s="5" t="s">
        <v>24</v>
      </c>
      <c r="N553" s="5" t="s">
        <v>27</v>
      </c>
      <c r="O553" s="5">
        <v>112</v>
      </c>
      <c r="P553" s="5">
        <v>172</v>
      </c>
      <c r="Q553" s="5">
        <v>20</v>
      </c>
      <c r="R553" s="5" t="s">
        <v>28</v>
      </c>
      <c r="S553" s="5" t="s">
        <v>29</v>
      </c>
      <c r="T553" s="5" t="s">
        <v>186</v>
      </c>
      <c r="U553" s="7" t="s">
        <v>259</v>
      </c>
    </row>
    <row r="554" spans="1:21" x14ac:dyDescent="0.25">
      <c r="A554" s="4">
        <v>1359535</v>
      </c>
      <c r="B554" s="5" t="s">
        <v>49</v>
      </c>
      <c r="C554" s="6">
        <v>45060</v>
      </c>
      <c r="D554" s="5" t="s">
        <v>358</v>
      </c>
      <c r="E554" s="5" t="s">
        <v>297</v>
      </c>
      <c r="F554" s="5" t="s">
        <v>252</v>
      </c>
      <c r="G554" s="5" t="s">
        <v>21</v>
      </c>
      <c r="H554" s="5" t="s">
        <v>297</v>
      </c>
      <c r="I554" s="5" t="s">
        <v>33</v>
      </c>
      <c r="J554" s="5" t="s">
        <v>25</v>
      </c>
      <c r="K554" s="5" t="s">
        <v>33</v>
      </c>
      <c r="L554" s="5" t="s">
        <v>34</v>
      </c>
      <c r="M554" s="5" t="s">
        <v>25</v>
      </c>
      <c r="N554" s="5" t="s">
        <v>38</v>
      </c>
      <c r="O554" s="5">
        <v>6</v>
      </c>
      <c r="P554" s="5">
        <v>145</v>
      </c>
      <c r="Q554" s="5">
        <v>20</v>
      </c>
      <c r="R554" s="5" t="s">
        <v>28</v>
      </c>
      <c r="S554" s="5" t="s">
        <v>29</v>
      </c>
      <c r="T554" s="5" t="s">
        <v>269</v>
      </c>
      <c r="U554" s="7" t="s">
        <v>318</v>
      </c>
    </row>
    <row r="555" spans="1:21" x14ac:dyDescent="0.25">
      <c r="A555" s="4">
        <v>1359536</v>
      </c>
      <c r="B555" s="5" t="s">
        <v>77</v>
      </c>
      <c r="C555" s="6">
        <v>45061</v>
      </c>
      <c r="D555" s="5" t="s">
        <v>358</v>
      </c>
      <c r="E555" s="5" t="s">
        <v>242</v>
      </c>
      <c r="F555" s="5" t="s">
        <v>260</v>
      </c>
      <c r="G555" s="5" t="s">
        <v>21</v>
      </c>
      <c r="H555" s="5" t="s">
        <v>242</v>
      </c>
      <c r="I555" s="5" t="s">
        <v>277</v>
      </c>
      <c r="J555" s="5" t="s">
        <v>121</v>
      </c>
      <c r="K555" s="5" t="s">
        <v>121</v>
      </c>
      <c r="L555" s="5" t="s">
        <v>26</v>
      </c>
      <c r="M555" s="5" t="s">
        <v>277</v>
      </c>
      <c r="N555" s="5" t="s">
        <v>27</v>
      </c>
      <c r="O555" s="5">
        <v>34</v>
      </c>
      <c r="P555" s="5">
        <v>189</v>
      </c>
      <c r="Q555" s="5">
        <v>20</v>
      </c>
      <c r="R555" s="5" t="s">
        <v>28</v>
      </c>
      <c r="S555" s="5" t="s">
        <v>29</v>
      </c>
      <c r="T555" s="5" t="s">
        <v>258</v>
      </c>
      <c r="U555" s="7" t="s">
        <v>237</v>
      </c>
    </row>
    <row r="556" spans="1:21" x14ac:dyDescent="0.25">
      <c r="A556" s="4">
        <v>1359537</v>
      </c>
      <c r="B556" s="5" t="s">
        <v>307</v>
      </c>
      <c r="C556" s="6">
        <v>45062</v>
      </c>
      <c r="D556" s="5" t="s">
        <v>358</v>
      </c>
      <c r="E556" s="5" t="s">
        <v>188</v>
      </c>
      <c r="F556" s="5" t="s">
        <v>309</v>
      </c>
      <c r="G556" s="5" t="s">
        <v>21</v>
      </c>
      <c r="H556" s="5" t="s">
        <v>188</v>
      </c>
      <c r="I556" s="5" t="s">
        <v>276</v>
      </c>
      <c r="J556" s="5" t="s">
        <v>41</v>
      </c>
      <c r="K556" s="5" t="s">
        <v>41</v>
      </c>
      <c r="L556" s="5" t="s">
        <v>26</v>
      </c>
      <c r="M556" s="5" t="s">
        <v>276</v>
      </c>
      <c r="N556" s="5" t="s">
        <v>27</v>
      </c>
      <c r="O556" s="5">
        <v>5</v>
      </c>
      <c r="P556" s="5">
        <v>178</v>
      </c>
      <c r="Q556" s="5">
        <v>20</v>
      </c>
      <c r="R556" s="5" t="s">
        <v>28</v>
      </c>
      <c r="S556" s="5" t="s">
        <v>29</v>
      </c>
      <c r="T556" s="5" t="s">
        <v>105</v>
      </c>
      <c r="U556" s="7" t="s">
        <v>178</v>
      </c>
    </row>
    <row r="557" spans="1:21" x14ac:dyDescent="0.25">
      <c r="A557" s="4">
        <v>1359538</v>
      </c>
      <c r="B557" s="5" t="s">
        <v>88</v>
      </c>
      <c r="C557" s="6">
        <v>45063</v>
      </c>
      <c r="D557" s="5" t="s">
        <v>358</v>
      </c>
      <c r="E557" s="5" t="s">
        <v>332</v>
      </c>
      <c r="F557" s="5" t="s">
        <v>333</v>
      </c>
      <c r="G557" s="5" t="s">
        <v>21</v>
      </c>
      <c r="H557" s="5" t="s">
        <v>332</v>
      </c>
      <c r="I557" s="5" t="s">
        <v>229</v>
      </c>
      <c r="J557" s="5" t="s">
        <v>254</v>
      </c>
      <c r="K557" s="5" t="s">
        <v>254</v>
      </c>
      <c r="L557" s="5" t="s">
        <v>26</v>
      </c>
      <c r="M557" s="5" t="s">
        <v>229</v>
      </c>
      <c r="N557" s="5" t="s">
        <v>27</v>
      </c>
      <c r="O557" s="5">
        <v>15</v>
      </c>
      <c r="P557" s="5">
        <v>214</v>
      </c>
      <c r="Q557" s="5">
        <v>20</v>
      </c>
      <c r="R557" s="5" t="s">
        <v>28</v>
      </c>
      <c r="S557" s="5" t="s">
        <v>29</v>
      </c>
      <c r="T557" s="5" t="s">
        <v>186</v>
      </c>
      <c r="U557" s="7" t="s">
        <v>317</v>
      </c>
    </row>
    <row r="558" spans="1:21" x14ac:dyDescent="0.25">
      <c r="A558" s="4">
        <v>1359539</v>
      </c>
      <c r="B558" s="5" t="s">
        <v>47</v>
      </c>
      <c r="C558" s="6">
        <v>45064</v>
      </c>
      <c r="D558" s="5" t="s">
        <v>358</v>
      </c>
      <c r="E558" s="5" t="s">
        <v>92</v>
      </c>
      <c r="F558" s="5" t="s">
        <v>310</v>
      </c>
      <c r="G558" s="5" t="s">
        <v>21</v>
      </c>
      <c r="H558" s="5" t="s">
        <v>92</v>
      </c>
      <c r="I558" s="5" t="s">
        <v>121</v>
      </c>
      <c r="J558" s="5" t="s">
        <v>24</v>
      </c>
      <c r="K558" s="5" t="s">
        <v>24</v>
      </c>
      <c r="L558" s="5" t="s">
        <v>26</v>
      </c>
      <c r="M558" s="5" t="s">
        <v>24</v>
      </c>
      <c r="N558" s="5" t="s">
        <v>38</v>
      </c>
      <c r="O558" s="5">
        <v>8</v>
      </c>
      <c r="P558" s="5">
        <v>187</v>
      </c>
      <c r="Q558" s="5">
        <v>20</v>
      </c>
      <c r="R558" s="5" t="s">
        <v>28</v>
      </c>
      <c r="S558" s="5" t="s">
        <v>29</v>
      </c>
      <c r="T558" s="5" t="s">
        <v>113</v>
      </c>
      <c r="U558" s="7" t="s">
        <v>173</v>
      </c>
    </row>
    <row r="559" spans="1:21" x14ac:dyDescent="0.25">
      <c r="A559" s="4">
        <v>1359540</v>
      </c>
      <c r="B559" s="5" t="s">
        <v>88</v>
      </c>
      <c r="C559" s="6">
        <v>45065</v>
      </c>
      <c r="D559" s="5" t="s">
        <v>358</v>
      </c>
      <c r="E559" s="5" t="s">
        <v>257</v>
      </c>
      <c r="F559" s="5" t="s">
        <v>333</v>
      </c>
      <c r="G559" s="5" t="s">
        <v>21</v>
      </c>
      <c r="H559" s="5" t="s">
        <v>257</v>
      </c>
      <c r="I559" s="5" t="s">
        <v>254</v>
      </c>
      <c r="J559" s="5" t="s">
        <v>37</v>
      </c>
      <c r="K559" s="5" t="s">
        <v>37</v>
      </c>
      <c r="L559" s="5" t="s">
        <v>26</v>
      </c>
      <c r="M559" s="5" t="s">
        <v>37</v>
      </c>
      <c r="N559" s="5" t="s">
        <v>38</v>
      </c>
      <c r="O559" s="5">
        <v>4</v>
      </c>
      <c r="P559" s="5">
        <v>188</v>
      </c>
      <c r="Q559" s="5">
        <v>20</v>
      </c>
      <c r="R559" s="5" t="s">
        <v>28</v>
      </c>
      <c r="S559" s="5" t="s">
        <v>29</v>
      </c>
      <c r="T559" s="5" t="s">
        <v>178</v>
      </c>
      <c r="U559" s="7" t="s">
        <v>91</v>
      </c>
    </row>
    <row r="560" spans="1:21" x14ac:dyDescent="0.25">
      <c r="A560" s="4">
        <v>1359541</v>
      </c>
      <c r="B560" s="5" t="s">
        <v>35</v>
      </c>
      <c r="C560" s="6">
        <v>45066</v>
      </c>
      <c r="D560" s="5" t="s">
        <v>358</v>
      </c>
      <c r="E560" s="5" t="s">
        <v>250</v>
      </c>
      <c r="F560" s="5" t="s">
        <v>261</v>
      </c>
      <c r="G560" s="5" t="s">
        <v>21</v>
      </c>
      <c r="H560" s="5" t="s">
        <v>250</v>
      </c>
      <c r="I560" s="5" t="s">
        <v>33</v>
      </c>
      <c r="J560" s="5" t="s">
        <v>229</v>
      </c>
      <c r="K560" s="5" t="s">
        <v>33</v>
      </c>
      <c r="L560" s="5" t="s">
        <v>34</v>
      </c>
      <c r="M560" s="5" t="s">
        <v>33</v>
      </c>
      <c r="N560" s="5" t="s">
        <v>27</v>
      </c>
      <c r="O560" s="5">
        <v>77</v>
      </c>
      <c r="P560" s="5">
        <v>224</v>
      </c>
      <c r="Q560" s="5">
        <v>20</v>
      </c>
      <c r="R560" s="5" t="s">
        <v>28</v>
      </c>
      <c r="S560" s="5" t="s">
        <v>29</v>
      </c>
      <c r="T560" s="5" t="s">
        <v>155</v>
      </c>
      <c r="U560" s="7" t="s">
        <v>290</v>
      </c>
    </row>
    <row r="561" spans="1:21" x14ac:dyDescent="0.25">
      <c r="A561" s="4">
        <v>1359542</v>
      </c>
      <c r="B561" s="5" t="s">
        <v>42</v>
      </c>
      <c r="C561" s="6">
        <v>45066</v>
      </c>
      <c r="D561" s="5" t="s">
        <v>358</v>
      </c>
      <c r="E561" s="5" t="s">
        <v>319</v>
      </c>
      <c r="F561" s="5" t="s">
        <v>303</v>
      </c>
      <c r="G561" s="5" t="s">
        <v>21</v>
      </c>
      <c r="H561" s="5" t="s">
        <v>319</v>
      </c>
      <c r="I561" s="5" t="s">
        <v>276</v>
      </c>
      <c r="J561" s="5" t="s">
        <v>25</v>
      </c>
      <c r="K561" s="5" t="s">
        <v>25</v>
      </c>
      <c r="L561" s="5" t="s">
        <v>26</v>
      </c>
      <c r="M561" s="5" t="s">
        <v>276</v>
      </c>
      <c r="N561" s="5" t="s">
        <v>27</v>
      </c>
      <c r="O561" s="5">
        <v>1</v>
      </c>
      <c r="P561" s="5">
        <v>177</v>
      </c>
      <c r="Q561" s="5">
        <v>20</v>
      </c>
      <c r="R561" s="5" t="s">
        <v>28</v>
      </c>
      <c r="S561" s="5" t="s">
        <v>29</v>
      </c>
      <c r="T561" s="5" t="s">
        <v>258</v>
      </c>
      <c r="U561" s="7" t="s">
        <v>237</v>
      </c>
    </row>
    <row r="562" spans="1:21" x14ac:dyDescent="0.25">
      <c r="A562" s="4">
        <v>1359543</v>
      </c>
      <c r="B562" s="5" t="s">
        <v>39</v>
      </c>
      <c r="C562" s="6">
        <v>45067</v>
      </c>
      <c r="D562" s="5" t="s">
        <v>358</v>
      </c>
      <c r="E562" s="5" t="s">
        <v>322</v>
      </c>
      <c r="F562" s="5" t="s">
        <v>253</v>
      </c>
      <c r="G562" s="5" t="s">
        <v>21</v>
      </c>
      <c r="H562" s="5" t="s">
        <v>322</v>
      </c>
      <c r="I562" s="5" t="s">
        <v>121</v>
      </c>
      <c r="J562" s="5" t="s">
        <v>41</v>
      </c>
      <c r="K562" s="5" t="s">
        <v>41</v>
      </c>
      <c r="L562" s="5" t="s">
        <v>26</v>
      </c>
      <c r="M562" s="5" t="s">
        <v>41</v>
      </c>
      <c r="N562" s="5" t="s">
        <v>38</v>
      </c>
      <c r="O562" s="5">
        <v>8</v>
      </c>
      <c r="P562" s="5">
        <v>201</v>
      </c>
      <c r="Q562" s="5">
        <v>20</v>
      </c>
      <c r="R562" s="5" t="s">
        <v>28</v>
      </c>
      <c r="S562" s="5" t="s">
        <v>29</v>
      </c>
      <c r="T562" s="5" t="s">
        <v>186</v>
      </c>
      <c r="U562" s="7" t="s">
        <v>91</v>
      </c>
    </row>
    <row r="563" spans="1:21" x14ac:dyDescent="0.25">
      <c r="A563" s="4">
        <v>1359544</v>
      </c>
      <c r="B563" s="5" t="s">
        <v>195</v>
      </c>
      <c r="C563" s="6">
        <v>45067</v>
      </c>
      <c r="D563" s="5" t="s">
        <v>358</v>
      </c>
      <c r="E563" s="5" t="s">
        <v>242</v>
      </c>
      <c r="F563" s="5" t="s">
        <v>311</v>
      </c>
      <c r="G563" s="5" t="s">
        <v>21</v>
      </c>
      <c r="H563" s="5" t="s">
        <v>242</v>
      </c>
      <c r="I563" s="5" t="s">
        <v>24</v>
      </c>
      <c r="J563" s="5" t="s">
        <v>277</v>
      </c>
      <c r="K563" s="5" t="s">
        <v>277</v>
      </c>
      <c r="L563" s="5" t="s">
        <v>26</v>
      </c>
      <c r="M563" s="5" t="s">
        <v>277</v>
      </c>
      <c r="N563" s="5" t="s">
        <v>38</v>
      </c>
      <c r="O563" s="5">
        <v>6</v>
      </c>
      <c r="P563" s="5">
        <v>198</v>
      </c>
      <c r="Q563" s="5">
        <v>20</v>
      </c>
      <c r="R563" s="5" t="s">
        <v>28</v>
      </c>
      <c r="S563" s="5" t="s">
        <v>29</v>
      </c>
      <c r="T563" s="5" t="s">
        <v>174</v>
      </c>
      <c r="U563" s="7" t="s">
        <v>173</v>
      </c>
    </row>
    <row r="564" spans="1:21" x14ac:dyDescent="0.25">
      <c r="A564" s="4">
        <v>1370350</v>
      </c>
      <c r="B564" s="5" t="s">
        <v>49</v>
      </c>
      <c r="C564" s="6">
        <v>45069</v>
      </c>
      <c r="D564" s="5" t="s">
        <v>358</v>
      </c>
      <c r="E564" s="5" t="s">
        <v>250</v>
      </c>
      <c r="F564" s="5" t="s">
        <v>252</v>
      </c>
      <c r="G564" s="5" t="s">
        <v>100</v>
      </c>
      <c r="H564" s="5" t="s">
        <v>250</v>
      </c>
      <c r="I564" s="5" t="s">
        <v>33</v>
      </c>
      <c r="J564" s="5" t="s">
        <v>277</v>
      </c>
      <c r="K564" s="5" t="s">
        <v>277</v>
      </c>
      <c r="L564" s="5" t="s">
        <v>26</v>
      </c>
      <c r="M564" s="5" t="s">
        <v>33</v>
      </c>
      <c r="N564" s="5" t="s">
        <v>27</v>
      </c>
      <c r="O564" s="5">
        <v>15</v>
      </c>
      <c r="P564" s="5">
        <v>173</v>
      </c>
      <c r="Q564" s="5">
        <v>20</v>
      </c>
      <c r="R564" s="5" t="s">
        <v>28</v>
      </c>
      <c r="S564" s="5" t="s">
        <v>29</v>
      </c>
      <c r="T564" s="5" t="s">
        <v>105</v>
      </c>
      <c r="U564" s="7" t="s">
        <v>155</v>
      </c>
    </row>
    <row r="565" spans="1:21" x14ac:dyDescent="0.25">
      <c r="A565" s="4">
        <v>1370351</v>
      </c>
      <c r="B565" s="5" t="s">
        <v>49</v>
      </c>
      <c r="C565" s="6">
        <v>45070</v>
      </c>
      <c r="D565" s="5" t="s">
        <v>358</v>
      </c>
      <c r="E565" s="5" t="s">
        <v>334</v>
      </c>
      <c r="F565" s="5" t="s">
        <v>252</v>
      </c>
      <c r="G565" s="5" t="s">
        <v>136</v>
      </c>
      <c r="H565" s="5" t="s">
        <v>334</v>
      </c>
      <c r="I565" s="5" t="s">
        <v>41</v>
      </c>
      <c r="J565" s="5" t="s">
        <v>276</v>
      </c>
      <c r="K565" s="5" t="s">
        <v>41</v>
      </c>
      <c r="L565" s="5" t="s">
        <v>34</v>
      </c>
      <c r="M565" s="5" t="s">
        <v>41</v>
      </c>
      <c r="N565" s="5" t="s">
        <v>27</v>
      </c>
      <c r="O565" s="5">
        <v>81</v>
      </c>
      <c r="P565" s="5">
        <v>183</v>
      </c>
      <c r="Q565" s="5">
        <v>20</v>
      </c>
      <c r="R565" s="5" t="s">
        <v>28</v>
      </c>
      <c r="S565" s="5" t="s">
        <v>29</v>
      </c>
      <c r="T565" s="5" t="s">
        <v>113</v>
      </c>
      <c r="U565" s="7" t="s">
        <v>173</v>
      </c>
    </row>
    <row r="566" spans="1:21" x14ac:dyDescent="0.25">
      <c r="A566" s="4">
        <v>1370352</v>
      </c>
      <c r="B566" s="5" t="s">
        <v>77</v>
      </c>
      <c r="C566" s="6">
        <v>45072</v>
      </c>
      <c r="D566" s="5" t="s">
        <v>358</v>
      </c>
      <c r="E566" s="5" t="s">
        <v>242</v>
      </c>
      <c r="F566" s="5" t="s">
        <v>260</v>
      </c>
      <c r="G566" s="5" t="s">
        <v>102</v>
      </c>
      <c r="H566" s="5" t="s">
        <v>242</v>
      </c>
      <c r="I566" s="5" t="s">
        <v>277</v>
      </c>
      <c r="J566" s="5" t="s">
        <v>41</v>
      </c>
      <c r="K566" s="5" t="s">
        <v>41</v>
      </c>
      <c r="L566" s="5" t="s">
        <v>26</v>
      </c>
      <c r="M566" s="5" t="s">
        <v>277</v>
      </c>
      <c r="N566" s="5" t="s">
        <v>27</v>
      </c>
      <c r="O566" s="5">
        <v>62</v>
      </c>
      <c r="P566" s="5">
        <v>234</v>
      </c>
      <c r="Q566" s="5">
        <v>20</v>
      </c>
      <c r="R566" s="5" t="s">
        <v>28</v>
      </c>
      <c r="S566" s="5" t="s">
        <v>29</v>
      </c>
      <c r="T566" s="5" t="s">
        <v>174</v>
      </c>
      <c r="U566" s="7" t="s">
        <v>91</v>
      </c>
    </row>
    <row r="567" spans="1:21" x14ac:dyDescent="0.25">
      <c r="A567" s="4">
        <v>1370353</v>
      </c>
      <c r="B567" s="5" t="s">
        <v>77</v>
      </c>
      <c r="C567" s="6">
        <v>45075</v>
      </c>
      <c r="D567" s="5" t="s">
        <v>358</v>
      </c>
      <c r="E567" s="5" t="s">
        <v>300</v>
      </c>
      <c r="F567" s="5" t="s">
        <v>260</v>
      </c>
      <c r="G567" s="5" t="s">
        <v>61</v>
      </c>
      <c r="H567" s="5" t="s">
        <v>300</v>
      </c>
      <c r="I567" s="5" t="s">
        <v>277</v>
      </c>
      <c r="J567" s="5" t="s">
        <v>33</v>
      </c>
      <c r="K567" s="5" t="s">
        <v>33</v>
      </c>
      <c r="L567" s="5" t="s">
        <v>26</v>
      </c>
      <c r="M567" s="5" t="s">
        <v>33</v>
      </c>
      <c r="N567" s="5" t="s">
        <v>38</v>
      </c>
      <c r="O567" s="5">
        <v>5</v>
      </c>
      <c r="P567" s="5">
        <v>171</v>
      </c>
      <c r="Q567" s="5">
        <v>15</v>
      </c>
      <c r="R567" s="5" t="s">
        <v>28</v>
      </c>
      <c r="S567" s="5" t="s">
        <v>57</v>
      </c>
      <c r="T567" s="5" t="s">
        <v>174</v>
      </c>
      <c r="U567" s="7" t="s">
        <v>91</v>
      </c>
    </row>
    <row r="568" spans="1:21" x14ac:dyDescent="0.25">
      <c r="A568" s="4">
        <v>1422119</v>
      </c>
      <c r="B568" s="5" t="s">
        <v>49</v>
      </c>
      <c r="C568" s="6">
        <v>45373</v>
      </c>
      <c r="D568" s="5" t="s">
        <v>359</v>
      </c>
      <c r="E568" s="5" t="s">
        <v>180</v>
      </c>
      <c r="F568" s="5" t="s">
        <v>252</v>
      </c>
      <c r="G568" s="5" t="s">
        <v>21</v>
      </c>
      <c r="H568" s="5" t="s">
        <v>180</v>
      </c>
      <c r="I568" s="5" t="s">
        <v>24</v>
      </c>
      <c r="J568" s="5" t="s">
        <v>33</v>
      </c>
      <c r="K568" s="5" t="s">
        <v>24</v>
      </c>
      <c r="L568" s="5" t="s">
        <v>34</v>
      </c>
      <c r="M568" s="5" t="s">
        <v>33</v>
      </c>
      <c r="N568" s="5" t="s">
        <v>38</v>
      </c>
      <c r="O568" s="5">
        <v>6</v>
      </c>
      <c r="P568" s="5">
        <v>174</v>
      </c>
      <c r="Q568" s="5">
        <v>20</v>
      </c>
      <c r="R568" s="5" t="s">
        <v>28</v>
      </c>
      <c r="S568" s="5" t="s">
        <v>29</v>
      </c>
      <c r="T568" s="5" t="s">
        <v>270</v>
      </c>
      <c r="U568" s="7" t="s">
        <v>173</v>
      </c>
    </row>
    <row r="569" spans="1:21" x14ac:dyDescent="0.25">
      <c r="A569" s="4">
        <v>1422120</v>
      </c>
      <c r="B569" s="5" t="s">
        <v>335</v>
      </c>
      <c r="C569" s="6">
        <v>45374</v>
      </c>
      <c r="D569" s="5" t="s">
        <v>359</v>
      </c>
      <c r="E569" s="5" t="s">
        <v>232</v>
      </c>
      <c r="F569" s="5" t="s">
        <v>336</v>
      </c>
      <c r="G569" s="5" t="s">
        <v>21</v>
      </c>
      <c r="H569" s="5" t="s">
        <v>232</v>
      </c>
      <c r="I569" s="5" t="s">
        <v>229</v>
      </c>
      <c r="J569" s="5" t="s">
        <v>254</v>
      </c>
      <c r="K569" s="5" t="s">
        <v>254</v>
      </c>
      <c r="L569" s="5" t="s">
        <v>26</v>
      </c>
      <c r="M569" s="5" t="s">
        <v>254</v>
      </c>
      <c r="N569" s="5" t="s">
        <v>38</v>
      </c>
      <c r="O569" s="5">
        <v>4</v>
      </c>
      <c r="P569" s="5">
        <v>175</v>
      </c>
      <c r="Q569" s="5">
        <v>20</v>
      </c>
      <c r="R569" s="5" t="s">
        <v>28</v>
      </c>
      <c r="S569" s="5" t="s">
        <v>29</v>
      </c>
      <c r="T569" s="5" t="s">
        <v>258</v>
      </c>
      <c r="U569" s="7" t="s">
        <v>290</v>
      </c>
    </row>
    <row r="570" spans="1:21" x14ac:dyDescent="0.25">
      <c r="A570" s="4">
        <v>1422121</v>
      </c>
      <c r="B570" s="5" t="s">
        <v>42</v>
      </c>
      <c r="C570" s="6">
        <v>45374</v>
      </c>
      <c r="D570" s="5" t="s">
        <v>359</v>
      </c>
      <c r="E570" s="5" t="s">
        <v>160</v>
      </c>
      <c r="F570" s="5" t="s">
        <v>303</v>
      </c>
      <c r="G570" s="5" t="s">
        <v>21</v>
      </c>
      <c r="H570" s="5" t="s">
        <v>160</v>
      </c>
      <c r="I570" s="5" t="s">
        <v>25</v>
      </c>
      <c r="J570" s="5" t="s">
        <v>121</v>
      </c>
      <c r="K570" s="5" t="s">
        <v>121</v>
      </c>
      <c r="L570" s="5" t="s">
        <v>26</v>
      </c>
      <c r="M570" s="5" t="s">
        <v>25</v>
      </c>
      <c r="N570" s="5" t="s">
        <v>27</v>
      </c>
      <c r="O570" s="5">
        <v>4</v>
      </c>
      <c r="P570" s="5">
        <v>209</v>
      </c>
      <c r="Q570" s="5">
        <v>20</v>
      </c>
      <c r="R570" s="5" t="s">
        <v>28</v>
      </c>
      <c r="S570" s="5" t="s">
        <v>29</v>
      </c>
      <c r="T570" s="5" t="s">
        <v>288</v>
      </c>
      <c r="U570" s="7" t="s">
        <v>202</v>
      </c>
    </row>
    <row r="571" spans="1:21" x14ac:dyDescent="0.25">
      <c r="A571" s="4">
        <v>1422122</v>
      </c>
      <c r="B571" s="5" t="s">
        <v>44</v>
      </c>
      <c r="C571" s="6">
        <v>45375</v>
      </c>
      <c r="D571" s="5" t="s">
        <v>359</v>
      </c>
      <c r="E571" s="5" t="s">
        <v>131</v>
      </c>
      <c r="F571" s="5" t="s">
        <v>323</v>
      </c>
      <c r="G571" s="5" t="s">
        <v>21</v>
      </c>
      <c r="H571" s="5" t="s">
        <v>131</v>
      </c>
      <c r="I571" s="5" t="s">
        <v>37</v>
      </c>
      <c r="J571" s="5" t="s">
        <v>276</v>
      </c>
      <c r="K571" s="5" t="s">
        <v>37</v>
      </c>
      <c r="L571" s="5" t="s">
        <v>34</v>
      </c>
      <c r="M571" s="5" t="s">
        <v>37</v>
      </c>
      <c r="N571" s="5" t="s">
        <v>27</v>
      </c>
      <c r="O571" s="5">
        <v>20</v>
      </c>
      <c r="P571" s="5">
        <v>194</v>
      </c>
      <c r="Q571" s="5">
        <v>20</v>
      </c>
      <c r="R571" s="5" t="s">
        <v>28</v>
      </c>
      <c r="S571" s="5" t="s">
        <v>29</v>
      </c>
      <c r="T571" s="5" t="s">
        <v>312</v>
      </c>
      <c r="U571" s="7" t="s">
        <v>67</v>
      </c>
    </row>
    <row r="572" spans="1:21" x14ac:dyDescent="0.25">
      <c r="A572" s="4">
        <v>1422123</v>
      </c>
      <c r="B572" s="5" t="s">
        <v>77</v>
      </c>
      <c r="C572" s="6">
        <v>45375</v>
      </c>
      <c r="D572" s="5" t="s">
        <v>359</v>
      </c>
      <c r="E572" s="5" t="s">
        <v>313</v>
      </c>
      <c r="F572" s="5" t="s">
        <v>260</v>
      </c>
      <c r="G572" s="5" t="s">
        <v>21</v>
      </c>
      <c r="H572" s="5" t="s">
        <v>313</v>
      </c>
      <c r="I572" s="5" t="s">
        <v>277</v>
      </c>
      <c r="J572" s="5" t="s">
        <v>41</v>
      </c>
      <c r="K572" s="5" t="s">
        <v>41</v>
      </c>
      <c r="L572" s="5" t="s">
        <v>26</v>
      </c>
      <c r="M572" s="5" t="s">
        <v>277</v>
      </c>
      <c r="N572" s="5" t="s">
        <v>27</v>
      </c>
      <c r="O572" s="5">
        <v>6</v>
      </c>
      <c r="P572" s="5">
        <v>169</v>
      </c>
      <c r="Q572" s="5">
        <v>20</v>
      </c>
      <c r="R572" s="5" t="s">
        <v>28</v>
      </c>
      <c r="S572" s="5" t="s">
        <v>29</v>
      </c>
      <c r="T572" s="5" t="s">
        <v>110</v>
      </c>
      <c r="U572" s="7" t="s">
        <v>173</v>
      </c>
    </row>
    <row r="573" spans="1:21" x14ac:dyDescent="0.25">
      <c r="A573" s="4">
        <v>1422124</v>
      </c>
      <c r="B573" s="5" t="s">
        <v>195</v>
      </c>
      <c r="C573" s="6">
        <v>45376</v>
      </c>
      <c r="D573" s="5" t="s">
        <v>359</v>
      </c>
      <c r="E573" s="5" t="s">
        <v>92</v>
      </c>
      <c r="F573" s="5" t="s">
        <v>311</v>
      </c>
      <c r="G573" s="5" t="s">
        <v>21</v>
      </c>
      <c r="H573" s="5" t="s">
        <v>92</v>
      </c>
      <c r="I573" s="5" t="s">
        <v>254</v>
      </c>
      <c r="J573" s="5" t="s">
        <v>24</v>
      </c>
      <c r="K573" s="5" t="s">
        <v>24</v>
      </c>
      <c r="L573" s="5" t="s">
        <v>26</v>
      </c>
      <c r="M573" s="5" t="s">
        <v>24</v>
      </c>
      <c r="N573" s="5" t="s">
        <v>38</v>
      </c>
      <c r="O573" s="5">
        <v>4</v>
      </c>
      <c r="P573" s="5">
        <v>177</v>
      </c>
      <c r="Q573" s="5">
        <v>20</v>
      </c>
      <c r="R573" s="5" t="s">
        <v>28</v>
      </c>
      <c r="S573" s="5" t="s">
        <v>29</v>
      </c>
      <c r="T573" s="5" t="s">
        <v>105</v>
      </c>
      <c r="U573" s="7" t="s">
        <v>317</v>
      </c>
    </row>
    <row r="574" spans="1:21" x14ac:dyDescent="0.25">
      <c r="A574" s="4">
        <v>1422125</v>
      </c>
      <c r="B574" s="5" t="s">
        <v>49</v>
      </c>
      <c r="C574" s="6">
        <v>45377</v>
      </c>
      <c r="D574" s="5" t="s">
        <v>359</v>
      </c>
      <c r="E574" s="5" t="s">
        <v>286</v>
      </c>
      <c r="F574" s="5" t="s">
        <v>252</v>
      </c>
      <c r="G574" s="5" t="s">
        <v>21</v>
      </c>
      <c r="H574" s="5" t="s">
        <v>286</v>
      </c>
      <c r="I574" s="5" t="s">
        <v>33</v>
      </c>
      <c r="J574" s="5" t="s">
        <v>277</v>
      </c>
      <c r="K574" s="5" t="s">
        <v>277</v>
      </c>
      <c r="L574" s="5" t="s">
        <v>26</v>
      </c>
      <c r="M574" s="5" t="s">
        <v>33</v>
      </c>
      <c r="N574" s="5" t="s">
        <v>27</v>
      </c>
      <c r="O574" s="5">
        <v>63</v>
      </c>
      <c r="P574" s="5">
        <v>207</v>
      </c>
      <c r="Q574" s="5">
        <v>20</v>
      </c>
      <c r="R574" s="5" t="s">
        <v>28</v>
      </c>
      <c r="S574" s="5" t="s">
        <v>29</v>
      </c>
      <c r="T574" s="5" t="s">
        <v>337</v>
      </c>
      <c r="U574" s="7" t="s">
        <v>269</v>
      </c>
    </row>
    <row r="575" spans="1:21" x14ac:dyDescent="0.25">
      <c r="A575" s="4">
        <v>1422126</v>
      </c>
      <c r="B575" s="5" t="s">
        <v>47</v>
      </c>
      <c r="C575" s="6">
        <v>45378</v>
      </c>
      <c r="D575" s="5" t="s">
        <v>359</v>
      </c>
      <c r="E575" s="5" t="s">
        <v>283</v>
      </c>
      <c r="F575" s="5" t="s">
        <v>310</v>
      </c>
      <c r="G575" s="5" t="s">
        <v>21</v>
      </c>
      <c r="H575" s="5" t="s">
        <v>283</v>
      </c>
      <c r="I575" s="5" t="s">
        <v>121</v>
      </c>
      <c r="J575" s="5" t="s">
        <v>41</v>
      </c>
      <c r="K575" s="5" t="s">
        <v>41</v>
      </c>
      <c r="L575" s="5" t="s">
        <v>26</v>
      </c>
      <c r="M575" s="5" t="s">
        <v>121</v>
      </c>
      <c r="N575" s="5" t="s">
        <v>27</v>
      </c>
      <c r="O575" s="5">
        <v>31</v>
      </c>
      <c r="P575" s="5">
        <v>278</v>
      </c>
      <c r="Q575" s="5">
        <v>20</v>
      </c>
      <c r="R575" s="5" t="s">
        <v>28</v>
      </c>
      <c r="S575" s="5" t="s">
        <v>29</v>
      </c>
      <c r="T575" s="5" t="s">
        <v>186</v>
      </c>
      <c r="U575" s="7" t="s">
        <v>237</v>
      </c>
    </row>
    <row r="576" spans="1:21" x14ac:dyDescent="0.25">
      <c r="A576" s="4">
        <v>1422127</v>
      </c>
      <c r="B576" s="5" t="s">
        <v>44</v>
      </c>
      <c r="C576" s="6">
        <v>45379</v>
      </c>
      <c r="D576" s="5" t="s">
        <v>359</v>
      </c>
      <c r="E576" s="5" t="s">
        <v>295</v>
      </c>
      <c r="F576" s="5" t="s">
        <v>323</v>
      </c>
      <c r="G576" s="5" t="s">
        <v>21</v>
      </c>
      <c r="H576" s="5" t="s">
        <v>295</v>
      </c>
      <c r="I576" s="5" t="s">
        <v>37</v>
      </c>
      <c r="J576" s="5" t="s">
        <v>229</v>
      </c>
      <c r="K576" s="5" t="s">
        <v>229</v>
      </c>
      <c r="L576" s="5" t="s">
        <v>26</v>
      </c>
      <c r="M576" s="5" t="s">
        <v>37</v>
      </c>
      <c r="N576" s="5" t="s">
        <v>27</v>
      </c>
      <c r="O576" s="5">
        <v>12</v>
      </c>
      <c r="P576" s="5">
        <v>186</v>
      </c>
      <c r="Q576" s="5">
        <v>20</v>
      </c>
      <c r="R576" s="5" t="s">
        <v>28</v>
      </c>
      <c r="S576" s="5" t="s">
        <v>29</v>
      </c>
      <c r="T576" s="5" t="s">
        <v>178</v>
      </c>
      <c r="U576" s="7" t="s">
        <v>174</v>
      </c>
    </row>
    <row r="577" spans="1:21" x14ac:dyDescent="0.25">
      <c r="A577" s="4">
        <v>1422128</v>
      </c>
      <c r="B577" s="5" t="s">
        <v>195</v>
      </c>
      <c r="C577" s="6">
        <v>45380</v>
      </c>
      <c r="D577" s="5" t="s">
        <v>359</v>
      </c>
      <c r="E577" s="5" t="s">
        <v>115</v>
      </c>
      <c r="F577" s="5" t="s">
        <v>311</v>
      </c>
      <c r="G577" s="5" t="s">
        <v>21</v>
      </c>
      <c r="H577" s="5" t="s">
        <v>115</v>
      </c>
      <c r="I577" s="5" t="s">
        <v>24</v>
      </c>
      <c r="J577" s="5" t="s">
        <v>25</v>
      </c>
      <c r="K577" s="5" t="s">
        <v>25</v>
      </c>
      <c r="L577" s="5" t="s">
        <v>26</v>
      </c>
      <c r="M577" s="5" t="s">
        <v>25</v>
      </c>
      <c r="N577" s="5" t="s">
        <v>38</v>
      </c>
      <c r="O577" s="5">
        <v>7</v>
      </c>
      <c r="P577" s="5">
        <v>183</v>
      </c>
      <c r="Q577" s="5">
        <v>20</v>
      </c>
      <c r="R577" s="5" t="s">
        <v>28</v>
      </c>
      <c r="S577" s="5" t="s">
        <v>29</v>
      </c>
      <c r="T577" s="5" t="s">
        <v>105</v>
      </c>
      <c r="U577" s="7" t="s">
        <v>288</v>
      </c>
    </row>
    <row r="578" spans="1:21" x14ac:dyDescent="0.25">
      <c r="A578" s="4">
        <v>1422129</v>
      </c>
      <c r="B578" s="5" t="s">
        <v>307</v>
      </c>
      <c r="C578" s="6">
        <v>45381</v>
      </c>
      <c r="D578" s="5" t="s">
        <v>359</v>
      </c>
      <c r="E578" s="5" t="s">
        <v>338</v>
      </c>
      <c r="F578" s="5" t="s">
        <v>309</v>
      </c>
      <c r="G578" s="5" t="s">
        <v>21</v>
      </c>
      <c r="H578" s="5" t="s">
        <v>338</v>
      </c>
      <c r="I578" s="5" t="s">
        <v>276</v>
      </c>
      <c r="J578" s="5" t="s">
        <v>254</v>
      </c>
      <c r="K578" s="5" t="s">
        <v>276</v>
      </c>
      <c r="L578" s="5" t="s">
        <v>34</v>
      </c>
      <c r="M578" s="5" t="s">
        <v>276</v>
      </c>
      <c r="N578" s="5" t="s">
        <v>27</v>
      </c>
      <c r="O578" s="5">
        <v>21</v>
      </c>
      <c r="P578" s="5">
        <v>200</v>
      </c>
      <c r="Q578" s="5">
        <v>20</v>
      </c>
      <c r="R578" s="5" t="s">
        <v>28</v>
      </c>
      <c r="S578" s="5" t="s">
        <v>29</v>
      </c>
      <c r="T578" s="5" t="s">
        <v>258</v>
      </c>
      <c r="U578" s="7" t="s">
        <v>259</v>
      </c>
    </row>
    <row r="579" spans="1:21" x14ac:dyDescent="0.25">
      <c r="A579" s="4">
        <v>1422130</v>
      </c>
      <c r="B579" s="5" t="s">
        <v>77</v>
      </c>
      <c r="C579" s="6">
        <v>45382</v>
      </c>
      <c r="D579" s="5" t="s">
        <v>359</v>
      </c>
      <c r="E579" s="5" t="s">
        <v>145</v>
      </c>
      <c r="F579" s="5" t="s">
        <v>260</v>
      </c>
      <c r="G579" s="5" t="s">
        <v>21</v>
      </c>
      <c r="H579" s="5" t="s">
        <v>145</v>
      </c>
      <c r="I579" s="5" t="s">
        <v>121</v>
      </c>
      <c r="J579" s="5" t="s">
        <v>277</v>
      </c>
      <c r="K579" s="5" t="s">
        <v>121</v>
      </c>
      <c r="L579" s="5" t="s">
        <v>34</v>
      </c>
      <c r="M579" s="5" t="s">
        <v>277</v>
      </c>
      <c r="N579" s="5" t="s">
        <v>38</v>
      </c>
      <c r="O579" s="5">
        <v>7</v>
      </c>
      <c r="P579" s="5">
        <v>163</v>
      </c>
      <c r="Q579" s="5">
        <v>20</v>
      </c>
      <c r="R579" s="5" t="s">
        <v>28</v>
      </c>
      <c r="S579" s="5" t="s">
        <v>29</v>
      </c>
      <c r="T579" s="5" t="s">
        <v>270</v>
      </c>
      <c r="U579" s="7" t="s">
        <v>173</v>
      </c>
    </row>
    <row r="580" spans="1:21" x14ac:dyDescent="0.25">
      <c r="A580" s="4">
        <v>1422131</v>
      </c>
      <c r="B580" s="5" t="s">
        <v>107</v>
      </c>
      <c r="C580" s="6">
        <v>45382</v>
      </c>
      <c r="D580" s="5" t="s">
        <v>359</v>
      </c>
      <c r="E580" s="5" t="s">
        <v>241</v>
      </c>
      <c r="F580" s="5" t="s">
        <v>339</v>
      </c>
      <c r="G580" s="5" t="s">
        <v>21</v>
      </c>
      <c r="H580" s="5" t="s">
        <v>241</v>
      </c>
      <c r="I580" s="5" t="s">
        <v>229</v>
      </c>
      <c r="J580" s="5" t="s">
        <v>33</v>
      </c>
      <c r="K580" s="5" t="s">
        <v>229</v>
      </c>
      <c r="L580" s="5" t="s">
        <v>34</v>
      </c>
      <c r="M580" s="5" t="s">
        <v>229</v>
      </c>
      <c r="N580" s="5" t="s">
        <v>27</v>
      </c>
      <c r="O580" s="5">
        <v>20</v>
      </c>
      <c r="P580" s="5">
        <v>192</v>
      </c>
      <c r="Q580" s="5">
        <v>20</v>
      </c>
      <c r="R580" s="5" t="s">
        <v>28</v>
      </c>
      <c r="S580" s="5" t="s">
        <v>29</v>
      </c>
      <c r="T580" s="5" t="s">
        <v>67</v>
      </c>
      <c r="U580" s="7" t="s">
        <v>318</v>
      </c>
    </row>
    <row r="581" spans="1:21" x14ac:dyDescent="0.25">
      <c r="A581" s="4">
        <v>1422132</v>
      </c>
      <c r="B581" s="5" t="s">
        <v>39</v>
      </c>
      <c r="C581" s="6">
        <v>45383</v>
      </c>
      <c r="D581" s="5" t="s">
        <v>359</v>
      </c>
      <c r="E581" s="5" t="s">
        <v>164</v>
      </c>
      <c r="F581" s="5" t="s">
        <v>253</v>
      </c>
      <c r="G581" s="5" t="s">
        <v>21</v>
      </c>
      <c r="H581" s="5" t="s">
        <v>164</v>
      </c>
      <c r="I581" s="5" t="s">
        <v>41</v>
      </c>
      <c r="J581" s="5" t="s">
        <v>37</v>
      </c>
      <c r="K581" s="5" t="s">
        <v>37</v>
      </c>
      <c r="L581" s="5" t="s">
        <v>26</v>
      </c>
      <c r="M581" s="5" t="s">
        <v>37</v>
      </c>
      <c r="N581" s="5" t="s">
        <v>38</v>
      </c>
      <c r="O581" s="5">
        <v>6</v>
      </c>
      <c r="P581" s="5">
        <v>126</v>
      </c>
      <c r="Q581" s="5">
        <v>20</v>
      </c>
      <c r="R581" s="5" t="s">
        <v>28</v>
      </c>
      <c r="S581" s="5" t="s">
        <v>29</v>
      </c>
      <c r="T581" s="5" t="s">
        <v>317</v>
      </c>
      <c r="U581" s="7" t="s">
        <v>202</v>
      </c>
    </row>
    <row r="582" spans="1:21" x14ac:dyDescent="0.25">
      <c r="A582" s="4">
        <v>1422133</v>
      </c>
      <c r="B582" s="5" t="s">
        <v>195</v>
      </c>
      <c r="C582" s="6">
        <v>45384</v>
      </c>
      <c r="D582" s="5" t="s">
        <v>359</v>
      </c>
      <c r="E582" s="5" t="s">
        <v>338</v>
      </c>
      <c r="F582" s="5" t="s">
        <v>311</v>
      </c>
      <c r="G582" s="5" t="s">
        <v>21</v>
      </c>
      <c r="H582" s="5" t="s">
        <v>338</v>
      </c>
      <c r="I582" s="5" t="s">
        <v>276</v>
      </c>
      <c r="J582" s="5" t="s">
        <v>24</v>
      </c>
      <c r="K582" s="5" t="s">
        <v>24</v>
      </c>
      <c r="L582" s="5" t="s">
        <v>26</v>
      </c>
      <c r="M582" s="5" t="s">
        <v>276</v>
      </c>
      <c r="N582" s="5" t="s">
        <v>27</v>
      </c>
      <c r="O582" s="5">
        <v>28</v>
      </c>
      <c r="P582" s="5">
        <v>182</v>
      </c>
      <c r="Q582" s="5">
        <v>20</v>
      </c>
      <c r="R582" s="5" t="s">
        <v>28</v>
      </c>
      <c r="S582" s="5" t="s">
        <v>29</v>
      </c>
      <c r="T582" s="5" t="s">
        <v>258</v>
      </c>
      <c r="U582" s="7" t="s">
        <v>290</v>
      </c>
    </row>
    <row r="583" spans="1:21" x14ac:dyDescent="0.25">
      <c r="A583" s="4">
        <v>1422134</v>
      </c>
      <c r="B583" s="5" t="s">
        <v>107</v>
      </c>
      <c r="C583" s="6">
        <v>45385</v>
      </c>
      <c r="D583" s="5" t="s">
        <v>359</v>
      </c>
      <c r="E583" s="5" t="s">
        <v>115</v>
      </c>
      <c r="F583" s="5" t="s">
        <v>339</v>
      </c>
      <c r="G583" s="5" t="s">
        <v>21</v>
      </c>
      <c r="H583" s="5" t="s">
        <v>115</v>
      </c>
      <c r="I583" s="5" t="s">
        <v>25</v>
      </c>
      <c r="J583" s="5" t="s">
        <v>229</v>
      </c>
      <c r="K583" s="5" t="s">
        <v>25</v>
      </c>
      <c r="L583" s="5" t="s">
        <v>34</v>
      </c>
      <c r="M583" s="5" t="s">
        <v>25</v>
      </c>
      <c r="N583" s="5" t="s">
        <v>27</v>
      </c>
      <c r="O583" s="5">
        <v>106</v>
      </c>
      <c r="P583" s="5">
        <v>273</v>
      </c>
      <c r="Q583" s="5">
        <v>20</v>
      </c>
      <c r="R583" s="5" t="s">
        <v>28</v>
      </c>
      <c r="S583" s="5" t="s">
        <v>29</v>
      </c>
      <c r="T583" s="5" t="s">
        <v>312</v>
      </c>
      <c r="U583" s="7" t="s">
        <v>237</v>
      </c>
    </row>
    <row r="584" spans="1:21" x14ac:dyDescent="0.25">
      <c r="A584" s="4">
        <v>1422135</v>
      </c>
      <c r="B584" s="5" t="s">
        <v>77</v>
      </c>
      <c r="C584" s="6">
        <v>45386</v>
      </c>
      <c r="D584" s="5" t="s">
        <v>359</v>
      </c>
      <c r="E584" s="5" t="s">
        <v>340</v>
      </c>
      <c r="F584" s="5" t="s">
        <v>260</v>
      </c>
      <c r="G584" s="5" t="s">
        <v>21</v>
      </c>
      <c r="H584" s="5" t="s">
        <v>340</v>
      </c>
      <c r="I584" s="5" t="s">
        <v>277</v>
      </c>
      <c r="J584" s="5" t="s">
        <v>254</v>
      </c>
      <c r="K584" s="5" t="s">
        <v>254</v>
      </c>
      <c r="L584" s="5" t="s">
        <v>26</v>
      </c>
      <c r="M584" s="5" t="s">
        <v>254</v>
      </c>
      <c r="N584" s="5" t="s">
        <v>38</v>
      </c>
      <c r="O584" s="5">
        <v>3</v>
      </c>
      <c r="P584" s="5">
        <v>200</v>
      </c>
      <c r="Q584" s="5">
        <v>20</v>
      </c>
      <c r="R584" s="5" t="s">
        <v>28</v>
      </c>
      <c r="S584" s="5" t="s">
        <v>29</v>
      </c>
      <c r="T584" s="5" t="s">
        <v>174</v>
      </c>
      <c r="U584" s="7" t="s">
        <v>110</v>
      </c>
    </row>
    <row r="585" spans="1:21" x14ac:dyDescent="0.25">
      <c r="A585" s="4">
        <v>1422136</v>
      </c>
      <c r="B585" s="5" t="s">
        <v>47</v>
      </c>
      <c r="C585" s="6">
        <v>45387</v>
      </c>
      <c r="D585" s="5" t="s">
        <v>359</v>
      </c>
      <c r="E585" s="5" t="s">
        <v>283</v>
      </c>
      <c r="F585" s="5" t="s">
        <v>310</v>
      </c>
      <c r="G585" s="5" t="s">
        <v>21</v>
      </c>
      <c r="H585" s="5" t="s">
        <v>283</v>
      </c>
      <c r="I585" s="5" t="s">
        <v>33</v>
      </c>
      <c r="J585" s="5" t="s">
        <v>121</v>
      </c>
      <c r="K585" s="5" t="s">
        <v>121</v>
      </c>
      <c r="L585" s="5" t="s">
        <v>26</v>
      </c>
      <c r="M585" s="5" t="s">
        <v>121</v>
      </c>
      <c r="N585" s="5" t="s">
        <v>38</v>
      </c>
      <c r="O585" s="5">
        <v>6</v>
      </c>
      <c r="P585" s="5">
        <v>166</v>
      </c>
      <c r="Q585" s="5">
        <v>20</v>
      </c>
      <c r="R585" s="5" t="s">
        <v>28</v>
      </c>
      <c r="S585" s="5" t="s">
        <v>29</v>
      </c>
      <c r="T585" s="5" t="s">
        <v>288</v>
      </c>
      <c r="U585" s="7" t="s">
        <v>202</v>
      </c>
    </row>
    <row r="586" spans="1:21" x14ac:dyDescent="0.25">
      <c r="A586" s="4">
        <v>1422137</v>
      </c>
      <c r="B586" s="5" t="s">
        <v>44</v>
      </c>
      <c r="C586" s="6">
        <v>45388</v>
      </c>
      <c r="D586" s="5" t="s">
        <v>359</v>
      </c>
      <c r="E586" s="5" t="s">
        <v>205</v>
      </c>
      <c r="F586" s="5" t="s">
        <v>323</v>
      </c>
      <c r="G586" s="5" t="s">
        <v>21</v>
      </c>
      <c r="H586" s="5" t="s">
        <v>205</v>
      </c>
      <c r="I586" s="5" t="s">
        <v>24</v>
      </c>
      <c r="J586" s="5" t="s">
        <v>37</v>
      </c>
      <c r="K586" s="5" t="s">
        <v>37</v>
      </c>
      <c r="L586" s="5" t="s">
        <v>26</v>
      </c>
      <c r="M586" s="5" t="s">
        <v>37</v>
      </c>
      <c r="N586" s="5" t="s">
        <v>38</v>
      </c>
      <c r="O586" s="5">
        <v>6</v>
      </c>
      <c r="P586" s="5">
        <v>184</v>
      </c>
      <c r="Q586" s="5">
        <v>20</v>
      </c>
      <c r="R586" s="5" t="s">
        <v>28</v>
      </c>
      <c r="S586" s="5" t="s">
        <v>29</v>
      </c>
      <c r="T586" s="5" t="s">
        <v>337</v>
      </c>
      <c r="U586" s="7" t="s">
        <v>269</v>
      </c>
    </row>
    <row r="587" spans="1:21" x14ac:dyDescent="0.25">
      <c r="A587" s="4">
        <v>1422138</v>
      </c>
      <c r="B587" s="5" t="s">
        <v>39</v>
      </c>
      <c r="C587" s="6">
        <v>45389</v>
      </c>
      <c r="D587" s="5" t="s">
        <v>359</v>
      </c>
      <c r="E587" s="5" t="s">
        <v>341</v>
      </c>
      <c r="F587" s="5" t="s">
        <v>253</v>
      </c>
      <c r="G587" s="5" t="s">
        <v>21</v>
      </c>
      <c r="H587" s="5" t="s">
        <v>341</v>
      </c>
      <c r="I587" s="5" t="s">
        <v>41</v>
      </c>
      <c r="J587" s="5" t="s">
        <v>229</v>
      </c>
      <c r="K587" s="5" t="s">
        <v>229</v>
      </c>
      <c r="L587" s="5" t="s">
        <v>26</v>
      </c>
      <c r="M587" s="5" t="s">
        <v>41</v>
      </c>
      <c r="N587" s="5" t="s">
        <v>27</v>
      </c>
      <c r="O587" s="5">
        <v>29</v>
      </c>
      <c r="P587" s="5">
        <v>235</v>
      </c>
      <c r="Q587" s="5">
        <v>20</v>
      </c>
      <c r="R587" s="5" t="s">
        <v>28</v>
      </c>
      <c r="S587" s="5" t="s">
        <v>29</v>
      </c>
      <c r="T587" s="5" t="s">
        <v>67</v>
      </c>
      <c r="U587" s="7" t="s">
        <v>237</v>
      </c>
    </row>
    <row r="588" spans="1:21" x14ac:dyDescent="0.25">
      <c r="A588" s="4">
        <v>1422139</v>
      </c>
      <c r="B588" s="5" t="s">
        <v>307</v>
      </c>
      <c r="C588" s="6">
        <v>45389</v>
      </c>
      <c r="D588" s="5" t="s">
        <v>359</v>
      </c>
      <c r="E588" s="5" t="s">
        <v>342</v>
      </c>
      <c r="F588" s="5" t="s">
        <v>309</v>
      </c>
      <c r="G588" s="5" t="s">
        <v>21</v>
      </c>
      <c r="H588" s="5" t="s">
        <v>342</v>
      </c>
      <c r="I588" s="5" t="s">
        <v>276</v>
      </c>
      <c r="J588" s="5" t="s">
        <v>277</v>
      </c>
      <c r="K588" s="5" t="s">
        <v>276</v>
      </c>
      <c r="L588" s="5" t="s">
        <v>34</v>
      </c>
      <c r="M588" s="5" t="s">
        <v>276</v>
      </c>
      <c r="N588" s="5" t="s">
        <v>27</v>
      </c>
      <c r="O588" s="5">
        <v>33</v>
      </c>
      <c r="P588" s="5">
        <v>164</v>
      </c>
      <c r="Q588" s="5">
        <v>20</v>
      </c>
      <c r="R588" s="5" t="s">
        <v>28</v>
      </c>
      <c r="S588" s="5" t="s">
        <v>29</v>
      </c>
      <c r="T588" s="5" t="s">
        <v>178</v>
      </c>
      <c r="U588" s="7" t="s">
        <v>173</v>
      </c>
    </row>
    <row r="589" spans="1:21" x14ac:dyDescent="0.25">
      <c r="A589" s="4">
        <v>1426260</v>
      </c>
      <c r="B589" s="5" t="s">
        <v>49</v>
      </c>
      <c r="C589" s="6">
        <v>45390</v>
      </c>
      <c r="D589" s="5" t="s">
        <v>359</v>
      </c>
      <c r="E589" s="5" t="s">
        <v>108</v>
      </c>
      <c r="F589" s="5" t="s">
        <v>252</v>
      </c>
      <c r="G589" s="5" t="s">
        <v>21</v>
      </c>
      <c r="H589" s="5" t="s">
        <v>108</v>
      </c>
      <c r="I589" s="5" t="s">
        <v>25</v>
      </c>
      <c r="J589" s="5" t="s">
        <v>33</v>
      </c>
      <c r="K589" s="5" t="s">
        <v>33</v>
      </c>
      <c r="L589" s="5" t="s">
        <v>26</v>
      </c>
      <c r="M589" s="5" t="s">
        <v>33</v>
      </c>
      <c r="N589" s="5" t="s">
        <v>38</v>
      </c>
      <c r="O589" s="5">
        <v>7</v>
      </c>
      <c r="P589" s="5">
        <v>138</v>
      </c>
      <c r="Q589" s="5">
        <v>20</v>
      </c>
      <c r="R589" s="5" t="s">
        <v>28</v>
      </c>
      <c r="S589" s="5" t="s">
        <v>29</v>
      </c>
      <c r="T589" s="5" t="s">
        <v>105</v>
      </c>
      <c r="U589" s="7" t="s">
        <v>317</v>
      </c>
    </row>
    <row r="590" spans="1:21" x14ac:dyDescent="0.25">
      <c r="A590" s="4">
        <v>1426261</v>
      </c>
      <c r="B590" s="5" t="s">
        <v>335</v>
      </c>
      <c r="C590" s="6">
        <v>45391</v>
      </c>
      <c r="D590" s="5" t="s">
        <v>359</v>
      </c>
      <c r="E590" s="5" t="s">
        <v>343</v>
      </c>
      <c r="F590" s="5" t="s">
        <v>336</v>
      </c>
      <c r="G590" s="5" t="s">
        <v>21</v>
      </c>
      <c r="H590" s="5" t="s">
        <v>343</v>
      </c>
      <c r="I590" s="5" t="s">
        <v>121</v>
      </c>
      <c r="J590" s="5" t="s">
        <v>254</v>
      </c>
      <c r="K590" s="5" t="s">
        <v>254</v>
      </c>
      <c r="L590" s="5" t="s">
        <v>26</v>
      </c>
      <c r="M590" s="5" t="s">
        <v>121</v>
      </c>
      <c r="N590" s="5" t="s">
        <v>27</v>
      </c>
      <c r="O590" s="5">
        <v>2</v>
      </c>
      <c r="P590" s="5">
        <v>183</v>
      </c>
      <c r="Q590" s="5">
        <v>20</v>
      </c>
      <c r="R590" s="5" t="s">
        <v>28</v>
      </c>
      <c r="S590" s="5" t="s">
        <v>29</v>
      </c>
      <c r="T590" s="5" t="s">
        <v>259</v>
      </c>
      <c r="U590" s="7" t="s">
        <v>290</v>
      </c>
    </row>
    <row r="591" spans="1:21" x14ac:dyDescent="0.25">
      <c r="A591" s="4">
        <v>1426262</v>
      </c>
      <c r="B591" s="5" t="s">
        <v>44</v>
      </c>
      <c r="C591" s="6">
        <v>45392</v>
      </c>
      <c r="D591" s="5" t="s">
        <v>359</v>
      </c>
      <c r="E591" s="5" t="s">
        <v>197</v>
      </c>
      <c r="F591" s="5" t="s">
        <v>323</v>
      </c>
      <c r="G591" s="5" t="s">
        <v>21</v>
      </c>
      <c r="H591" s="5" t="s">
        <v>197</v>
      </c>
      <c r="I591" s="5" t="s">
        <v>37</v>
      </c>
      <c r="J591" s="5" t="s">
        <v>277</v>
      </c>
      <c r="K591" s="5" t="s">
        <v>277</v>
      </c>
      <c r="L591" s="5" t="s">
        <v>26</v>
      </c>
      <c r="M591" s="5" t="s">
        <v>277</v>
      </c>
      <c r="N591" s="5" t="s">
        <v>38</v>
      </c>
      <c r="O591" s="5">
        <v>3</v>
      </c>
      <c r="P591" s="5">
        <v>197</v>
      </c>
      <c r="Q591" s="5">
        <v>20</v>
      </c>
      <c r="R591" s="5" t="s">
        <v>28</v>
      </c>
      <c r="S591" s="5" t="s">
        <v>29</v>
      </c>
      <c r="T591" s="5" t="s">
        <v>67</v>
      </c>
      <c r="U591" s="7" t="s">
        <v>318</v>
      </c>
    </row>
    <row r="592" spans="1:21" x14ac:dyDescent="0.25">
      <c r="A592" s="4">
        <v>1426263</v>
      </c>
      <c r="B592" s="5" t="s">
        <v>39</v>
      </c>
      <c r="C592" s="6">
        <v>45393</v>
      </c>
      <c r="D592" s="5" t="s">
        <v>359</v>
      </c>
      <c r="E592" s="5" t="s">
        <v>200</v>
      </c>
      <c r="F592" s="5" t="s">
        <v>253</v>
      </c>
      <c r="G592" s="5" t="s">
        <v>21</v>
      </c>
      <c r="H592" s="5" t="s">
        <v>200</v>
      </c>
      <c r="I592" s="5" t="s">
        <v>24</v>
      </c>
      <c r="J592" s="5" t="s">
        <v>41</v>
      </c>
      <c r="K592" s="5" t="s">
        <v>41</v>
      </c>
      <c r="L592" s="5" t="s">
        <v>26</v>
      </c>
      <c r="M592" s="5" t="s">
        <v>41</v>
      </c>
      <c r="N592" s="5" t="s">
        <v>38</v>
      </c>
      <c r="O592" s="5">
        <v>7</v>
      </c>
      <c r="P592" s="5">
        <v>197</v>
      </c>
      <c r="Q592" s="5">
        <v>20</v>
      </c>
      <c r="R592" s="5" t="s">
        <v>28</v>
      </c>
      <c r="S592" s="5" t="s">
        <v>29</v>
      </c>
      <c r="T592" s="5" t="s">
        <v>174</v>
      </c>
      <c r="U592" s="7" t="s">
        <v>110</v>
      </c>
    </row>
    <row r="593" spans="1:21" x14ac:dyDescent="0.25">
      <c r="A593" s="4">
        <v>1426264</v>
      </c>
      <c r="B593" s="5" t="s">
        <v>307</v>
      </c>
      <c r="C593" s="6">
        <v>45394</v>
      </c>
      <c r="D593" s="5" t="s">
        <v>359</v>
      </c>
      <c r="E593" s="5" t="s">
        <v>226</v>
      </c>
      <c r="F593" s="5" t="s">
        <v>309</v>
      </c>
      <c r="G593" s="5" t="s">
        <v>21</v>
      </c>
      <c r="H593" s="5" t="s">
        <v>226</v>
      </c>
      <c r="I593" s="5" t="s">
        <v>276</v>
      </c>
      <c r="J593" s="5" t="s">
        <v>229</v>
      </c>
      <c r="K593" s="5" t="s">
        <v>276</v>
      </c>
      <c r="L593" s="5" t="s">
        <v>34</v>
      </c>
      <c r="M593" s="5" t="s">
        <v>229</v>
      </c>
      <c r="N593" s="5" t="s">
        <v>38</v>
      </c>
      <c r="O593" s="5">
        <v>6</v>
      </c>
      <c r="P593" s="5">
        <v>168</v>
      </c>
      <c r="Q593" s="5">
        <v>20</v>
      </c>
      <c r="R593" s="5" t="s">
        <v>28</v>
      </c>
      <c r="S593" s="5" t="s">
        <v>29</v>
      </c>
      <c r="T593" s="5" t="s">
        <v>288</v>
      </c>
      <c r="U593" s="7" t="s">
        <v>202</v>
      </c>
    </row>
    <row r="594" spans="1:21" x14ac:dyDescent="0.25">
      <c r="A594" s="4">
        <v>1426265</v>
      </c>
      <c r="B594" s="5" t="s">
        <v>335</v>
      </c>
      <c r="C594" s="6">
        <v>45395</v>
      </c>
      <c r="D594" s="5" t="s">
        <v>359</v>
      </c>
      <c r="E594" s="5" t="s">
        <v>243</v>
      </c>
      <c r="F594" s="5" t="s">
        <v>336</v>
      </c>
      <c r="G594" s="5" t="s">
        <v>21</v>
      </c>
      <c r="H594" s="5" t="s">
        <v>243</v>
      </c>
      <c r="I594" s="5" t="s">
        <v>254</v>
      </c>
      <c r="J594" s="5" t="s">
        <v>37</v>
      </c>
      <c r="K594" s="5" t="s">
        <v>37</v>
      </c>
      <c r="L594" s="5" t="s">
        <v>26</v>
      </c>
      <c r="M594" s="5" t="s">
        <v>37</v>
      </c>
      <c r="N594" s="5" t="s">
        <v>38</v>
      </c>
      <c r="O594" s="5">
        <v>3</v>
      </c>
      <c r="P594" s="5">
        <v>148</v>
      </c>
      <c r="Q594" s="5">
        <v>20</v>
      </c>
      <c r="R594" s="5" t="s">
        <v>28</v>
      </c>
      <c r="S594" s="5" t="s">
        <v>29</v>
      </c>
      <c r="T594" s="5" t="s">
        <v>105</v>
      </c>
      <c r="U594" s="7" t="s">
        <v>269</v>
      </c>
    </row>
    <row r="595" spans="1:21" x14ac:dyDescent="0.25">
      <c r="A595" s="4">
        <v>1426266</v>
      </c>
      <c r="B595" s="5" t="s">
        <v>42</v>
      </c>
      <c r="C595" s="6">
        <v>45396</v>
      </c>
      <c r="D595" s="5" t="s">
        <v>359</v>
      </c>
      <c r="E595" s="5" t="s">
        <v>327</v>
      </c>
      <c r="F595" s="5" t="s">
        <v>303</v>
      </c>
      <c r="G595" s="5" t="s">
        <v>21</v>
      </c>
      <c r="H595" s="5" t="s">
        <v>327</v>
      </c>
      <c r="I595" s="5" t="s">
        <v>276</v>
      </c>
      <c r="J595" s="5" t="s">
        <v>25</v>
      </c>
      <c r="K595" s="5" t="s">
        <v>25</v>
      </c>
      <c r="L595" s="5" t="s">
        <v>26</v>
      </c>
      <c r="M595" s="5" t="s">
        <v>25</v>
      </c>
      <c r="N595" s="5" t="s">
        <v>38</v>
      </c>
      <c r="O595" s="5">
        <v>8</v>
      </c>
      <c r="P595" s="5">
        <v>162</v>
      </c>
      <c r="Q595" s="5">
        <v>20</v>
      </c>
      <c r="R595" s="5" t="s">
        <v>28</v>
      </c>
      <c r="S595" s="5" t="s">
        <v>29</v>
      </c>
      <c r="T595" s="5" t="s">
        <v>312</v>
      </c>
      <c r="U595" s="7" t="s">
        <v>318</v>
      </c>
    </row>
    <row r="596" spans="1:21" x14ac:dyDescent="0.25">
      <c r="A596" s="4">
        <v>1426267</v>
      </c>
      <c r="B596" s="5" t="s">
        <v>39</v>
      </c>
      <c r="C596" s="6">
        <v>45396</v>
      </c>
      <c r="D596" s="5" t="s">
        <v>359</v>
      </c>
      <c r="E596" s="5" t="s">
        <v>326</v>
      </c>
      <c r="F596" s="5" t="s">
        <v>253</v>
      </c>
      <c r="G596" s="5" t="s">
        <v>21</v>
      </c>
      <c r="H596" s="5" t="s">
        <v>326</v>
      </c>
      <c r="I596" s="5" t="s">
        <v>33</v>
      </c>
      <c r="J596" s="5" t="s">
        <v>41</v>
      </c>
      <c r="K596" s="5" t="s">
        <v>41</v>
      </c>
      <c r="L596" s="5" t="s">
        <v>26</v>
      </c>
      <c r="M596" s="5" t="s">
        <v>33</v>
      </c>
      <c r="N596" s="5" t="s">
        <v>27</v>
      </c>
      <c r="O596" s="5">
        <v>20</v>
      </c>
      <c r="P596" s="5">
        <v>207</v>
      </c>
      <c r="Q596" s="5">
        <v>20</v>
      </c>
      <c r="R596" s="5" t="s">
        <v>28</v>
      </c>
      <c r="S596" s="5" t="s">
        <v>29</v>
      </c>
      <c r="T596" s="5" t="s">
        <v>174</v>
      </c>
      <c r="U596" s="7" t="s">
        <v>270</v>
      </c>
    </row>
    <row r="597" spans="1:21" x14ac:dyDescent="0.25">
      <c r="A597" s="4">
        <v>1426268</v>
      </c>
      <c r="B597" s="5" t="s">
        <v>195</v>
      </c>
      <c r="C597" s="6">
        <v>45397</v>
      </c>
      <c r="D597" s="5" t="s">
        <v>359</v>
      </c>
      <c r="E597" s="5" t="s">
        <v>344</v>
      </c>
      <c r="F597" s="5" t="s">
        <v>311</v>
      </c>
      <c r="G597" s="5" t="s">
        <v>21</v>
      </c>
      <c r="H597" s="5" t="s">
        <v>344</v>
      </c>
      <c r="I597" s="5" t="s">
        <v>121</v>
      </c>
      <c r="J597" s="5" t="s">
        <v>24</v>
      </c>
      <c r="K597" s="5" t="s">
        <v>24</v>
      </c>
      <c r="L597" s="5" t="s">
        <v>26</v>
      </c>
      <c r="M597" s="5" t="s">
        <v>121</v>
      </c>
      <c r="N597" s="5" t="s">
        <v>27</v>
      </c>
      <c r="O597" s="5">
        <v>25</v>
      </c>
      <c r="P597" s="5">
        <v>288</v>
      </c>
      <c r="Q597" s="5">
        <v>20</v>
      </c>
      <c r="R597" s="5" t="s">
        <v>28</v>
      </c>
      <c r="S597" s="5" t="s">
        <v>29</v>
      </c>
      <c r="T597" s="5" t="s">
        <v>105</v>
      </c>
      <c r="U597" s="7" t="s">
        <v>288</v>
      </c>
    </row>
    <row r="598" spans="1:21" x14ac:dyDescent="0.25">
      <c r="A598" s="4">
        <v>1426269</v>
      </c>
      <c r="B598" s="5" t="s">
        <v>42</v>
      </c>
      <c r="C598" s="6">
        <v>45398</v>
      </c>
      <c r="D598" s="5" t="s">
        <v>359</v>
      </c>
      <c r="E598" s="5" t="s">
        <v>205</v>
      </c>
      <c r="F598" s="5" t="s">
        <v>303</v>
      </c>
      <c r="G598" s="5" t="s">
        <v>21</v>
      </c>
      <c r="H598" s="5" t="s">
        <v>205</v>
      </c>
      <c r="I598" s="5" t="s">
        <v>25</v>
      </c>
      <c r="J598" s="5" t="s">
        <v>37</v>
      </c>
      <c r="K598" s="5" t="s">
        <v>37</v>
      </c>
      <c r="L598" s="5" t="s">
        <v>26</v>
      </c>
      <c r="M598" s="5" t="s">
        <v>37</v>
      </c>
      <c r="N598" s="5" t="s">
        <v>38</v>
      </c>
      <c r="O598" s="5">
        <v>2</v>
      </c>
      <c r="P598" s="5">
        <v>224</v>
      </c>
      <c r="Q598" s="5">
        <v>20</v>
      </c>
      <c r="R598" s="5" t="s">
        <v>28</v>
      </c>
      <c r="S598" s="5" t="s">
        <v>29</v>
      </c>
      <c r="T598" s="5" t="s">
        <v>266</v>
      </c>
      <c r="U598" s="7" t="s">
        <v>237</v>
      </c>
    </row>
    <row r="599" spans="1:21" x14ac:dyDescent="0.25">
      <c r="A599" s="4">
        <v>1426270</v>
      </c>
      <c r="B599" s="5" t="s">
        <v>77</v>
      </c>
      <c r="C599" s="6">
        <v>45399</v>
      </c>
      <c r="D599" s="5" t="s">
        <v>359</v>
      </c>
      <c r="E599" s="5" t="s">
        <v>187</v>
      </c>
      <c r="F599" s="5" t="s">
        <v>260</v>
      </c>
      <c r="G599" s="5" t="s">
        <v>21</v>
      </c>
      <c r="H599" s="5" t="s">
        <v>187</v>
      </c>
      <c r="I599" s="5" t="s">
        <v>277</v>
      </c>
      <c r="J599" s="5" t="s">
        <v>229</v>
      </c>
      <c r="K599" s="5" t="s">
        <v>229</v>
      </c>
      <c r="L599" s="5" t="s">
        <v>26</v>
      </c>
      <c r="M599" s="5" t="s">
        <v>229</v>
      </c>
      <c r="N599" s="5" t="s">
        <v>38</v>
      </c>
      <c r="O599" s="5">
        <v>6</v>
      </c>
      <c r="P599" s="5">
        <v>90</v>
      </c>
      <c r="Q599" s="5">
        <v>20</v>
      </c>
      <c r="R599" s="5" t="s">
        <v>28</v>
      </c>
      <c r="S599" s="5" t="s">
        <v>29</v>
      </c>
      <c r="T599" s="5" t="s">
        <v>290</v>
      </c>
      <c r="U599" s="7" t="s">
        <v>173</v>
      </c>
    </row>
    <row r="600" spans="1:21" x14ac:dyDescent="0.25">
      <c r="A600" s="4">
        <v>1426271</v>
      </c>
      <c r="B600" s="5" t="s">
        <v>335</v>
      </c>
      <c r="C600" s="6">
        <v>45400</v>
      </c>
      <c r="D600" s="5" t="s">
        <v>359</v>
      </c>
      <c r="E600" s="5" t="s">
        <v>200</v>
      </c>
      <c r="F600" s="5" t="s">
        <v>336</v>
      </c>
      <c r="G600" s="5" t="s">
        <v>21</v>
      </c>
      <c r="H600" s="5" t="s">
        <v>200</v>
      </c>
      <c r="I600" s="5" t="s">
        <v>41</v>
      </c>
      <c r="J600" s="5" t="s">
        <v>254</v>
      </c>
      <c r="K600" s="5" t="s">
        <v>254</v>
      </c>
      <c r="L600" s="5" t="s">
        <v>26</v>
      </c>
      <c r="M600" s="5" t="s">
        <v>41</v>
      </c>
      <c r="N600" s="5" t="s">
        <v>27</v>
      </c>
      <c r="O600" s="5">
        <v>9</v>
      </c>
      <c r="P600" s="5">
        <v>193</v>
      </c>
      <c r="Q600" s="5">
        <v>20</v>
      </c>
      <c r="R600" s="5" t="s">
        <v>28</v>
      </c>
      <c r="S600" s="5" t="s">
        <v>29</v>
      </c>
      <c r="T600" s="5" t="s">
        <v>178</v>
      </c>
      <c r="U600" s="7" t="s">
        <v>110</v>
      </c>
    </row>
    <row r="601" spans="1:21" x14ac:dyDescent="0.25">
      <c r="A601" s="4">
        <v>1426272</v>
      </c>
      <c r="B601" s="5" t="s">
        <v>307</v>
      </c>
      <c r="C601" s="6">
        <v>45401</v>
      </c>
      <c r="D601" s="5" t="s">
        <v>359</v>
      </c>
      <c r="E601" s="5" t="s">
        <v>213</v>
      </c>
      <c r="F601" s="5" t="s">
        <v>309</v>
      </c>
      <c r="G601" s="5" t="s">
        <v>21</v>
      </c>
      <c r="H601" s="5" t="s">
        <v>213</v>
      </c>
      <c r="I601" s="5" t="s">
        <v>33</v>
      </c>
      <c r="J601" s="5" t="s">
        <v>276</v>
      </c>
      <c r="K601" s="5" t="s">
        <v>276</v>
      </c>
      <c r="L601" s="5" t="s">
        <v>26</v>
      </c>
      <c r="M601" s="5" t="s">
        <v>276</v>
      </c>
      <c r="N601" s="5" t="s">
        <v>38</v>
      </c>
      <c r="O601" s="5">
        <v>8</v>
      </c>
      <c r="P601" s="5">
        <v>177</v>
      </c>
      <c r="Q601" s="5">
        <v>20</v>
      </c>
      <c r="R601" s="5" t="s">
        <v>28</v>
      </c>
      <c r="S601" s="5" t="s">
        <v>29</v>
      </c>
      <c r="T601" s="5" t="s">
        <v>105</v>
      </c>
      <c r="U601" s="7" t="s">
        <v>288</v>
      </c>
    </row>
    <row r="602" spans="1:21" x14ac:dyDescent="0.25">
      <c r="A602" s="4">
        <v>1426273</v>
      </c>
      <c r="B602" s="5" t="s">
        <v>35</v>
      </c>
      <c r="C602" s="6">
        <v>45402</v>
      </c>
      <c r="D602" s="5" t="s">
        <v>359</v>
      </c>
      <c r="E602" s="5" t="s">
        <v>344</v>
      </c>
      <c r="F602" s="5" t="s">
        <v>261</v>
      </c>
      <c r="G602" s="5" t="s">
        <v>21</v>
      </c>
      <c r="H602" s="5" t="s">
        <v>344</v>
      </c>
      <c r="I602" s="5" t="s">
        <v>121</v>
      </c>
      <c r="J602" s="5" t="s">
        <v>229</v>
      </c>
      <c r="K602" s="5" t="s">
        <v>229</v>
      </c>
      <c r="L602" s="5" t="s">
        <v>26</v>
      </c>
      <c r="M602" s="5" t="s">
        <v>121</v>
      </c>
      <c r="N602" s="5" t="s">
        <v>27</v>
      </c>
      <c r="O602" s="5">
        <v>67</v>
      </c>
      <c r="P602" s="5">
        <v>267</v>
      </c>
      <c r="Q602" s="5">
        <v>20</v>
      </c>
      <c r="R602" s="5" t="s">
        <v>28</v>
      </c>
      <c r="S602" s="5" t="s">
        <v>29</v>
      </c>
      <c r="T602" s="5" t="s">
        <v>258</v>
      </c>
      <c r="U602" s="7" t="s">
        <v>259</v>
      </c>
    </row>
    <row r="603" spans="1:21" x14ac:dyDescent="0.25">
      <c r="A603" s="4">
        <v>1426274</v>
      </c>
      <c r="B603" s="5" t="s">
        <v>42</v>
      </c>
      <c r="C603" s="6">
        <v>45403</v>
      </c>
      <c r="D603" s="5" t="s">
        <v>359</v>
      </c>
      <c r="E603" s="5" t="s">
        <v>160</v>
      </c>
      <c r="F603" s="5" t="s">
        <v>303</v>
      </c>
      <c r="G603" s="5" t="s">
        <v>21</v>
      </c>
      <c r="H603" s="5" t="s">
        <v>160</v>
      </c>
      <c r="I603" s="5" t="s">
        <v>25</v>
      </c>
      <c r="J603" s="5" t="s">
        <v>24</v>
      </c>
      <c r="K603" s="5" t="s">
        <v>24</v>
      </c>
      <c r="L603" s="5" t="s">
        <v>26</v>
      </c>
      <c r="M603" s="5" t="s">
        <v>25</v>
      </c>
      <c r="N603" s="5" t="s">
        <v>27</v>
      </c>
      <c r="O603" s="5">
        <v>1</v>
      </c>
      <c r="P603" s="5">
        <v>223</v>
      </c>
      <c r="Q603" s="5">
        <v>20</v>
      </c>
      <c r="R603" s="5" t="s">
        <v>28</v>
      </c>
      <c r="S603" s="5" t="s">
        <v>29</v>
      </c>
      <c r="T603" s="5" t="s">
        <v>312</v>
      </c>
      <c r="U603" s="7" t="s">
        <v>318</v>
      </c>
    </row>
    <row r="604" spans="1:21" x14ac:dyDescent="0.25">
      <c r="A604" s="4">
        <v>1426275</v>
      </c>
      <c r="B604" s="5" t="s">
        <v>335</v>
      </c>
      <c r="C604" s="6">
        <v>45403</v>
      </c>
      <c r="D604" s="5" t="s">
        <v>359</v>
      </c>
      <c r="E604" s="5" t="s">
        <v>345</v>
      </c>
      <c r="F604" s="5" t="s">
        <v>336</v>
      </c>
      <c r="G604" s="5" t="s">
        <v>21</v>
      </c>
      <c r="H604" s="5" t="s">
        <v>345</v>
      </c>
      <c r="I604" s="5" t="s">
        <v>254</v>
      </c>
      <c r="J604" s="5" t="s">
        <v>277</v>
      </c>
      <c r="K604" s="5" t="s">
        <v>254</v>
      </c>
      <c r="L604" s="5" t="s">
        <v>34</v>
      </c>
      <c r="M604" s="5" t="s">
        <v>277</v>
      </c>
      <c r="N604" s="5" t="s">
        <v>38</v>
      </c>
      <c r="O604" s="5">
        <v>3</v>
      </c>
      <c r="P604" s="5">
        <v>143</v>
      </c>
      <c r="Q604" s="5">
        <v>20</v>
      </c>
      <c r="R604" s="5" t="s">
        <v>28</v>
      </c>
      <c r="S604" s="5" t="s">
        <v>29</v>
      </c>
      <c r="T604" s="5" t="s">
        <v>178</v>
      </c>
      <c r="U604" s="7" t="s">
        <v>110</v>
      </c>
    </row>
    <row r="605" spans="1:21" x14ac:dyDescent="0.25">
      <c r="A605" s="4">
        <v>1426276</v>
      </c>
      <c r="B605" s="5" t="s">
        <v>44</v>
      </c>
      <c r="C605" s="6">
        <v>45404</v>
      </c>
      <c r="D605" s="5" t="s">
        <v>359</v>
      </c>
      <c r="E605" s="5" t="s">
        <v>146</v>
      </c>
      <c r="F605" s="5" t="s">
        <v>323</v>
      </c>
      <c r="G605" s="5" t="s">
        <v>21</v>
      </c>
      <c r="H605" s="5" t="s">
        <v>146</v>
      </c>
      <c r="I605" s="5" t="s">
        <v>41</v>
      </c>
      <c r="J605" s="5" t="s">
        <v>37</v>
      </c>
      <c r="K605" s="5" t="s">
        <v>41</v>
      </c>
      <c r="L605" s="5" t="s">
        <v>34</v>
      </c>
      <c r="M605" s="5" t="s">
        <v>37</v>
      </c>
      <c r="N605" s="5" t="s">
        <v>38</v>
      </c>
      <c r="O605" s="5">
        <v>9</v>
      </c>
      <c r="P605" s="5">
        <v>180</v>
      </c>
      <c r="Q605" s="5">
        <v>20</v>
      </c>
      <c r="R605" s="5" t="s">
        <v>28</v>
      </c>
      <c r="S605" s="5" t="s">
        <v>29</v>
      </c>
      <c r="T605" s="5" t="s">
        <v>105</v>
      </c>
      <c r="U605" s="7" t="s">
        <v>317</v>
      </c>
    </row>
    <row r="606" spans="1:21" x14ac:dyDescent="0.25">
      <c r="A606" s="4">
        <v>1426277</v>
      </c>
      <c r="B606" s="5" t="s">
        <v>49</v>
      </c>
      <c r="C606" s="6">
        <v>45405</v>
      </c>
      <c r="D606" s="5" t="s">
        <v>359</v>
      </c>
      <c r="E606" s="5" t="s">
        <v>188</v>
      </c>
      <c r="F606" s="5" t="s">
        <v>252</v>
      </c>
      <c r="G606" s="5" t="s">
        <v>21</v>
      </c>
      <c r="H606" s="5" t="s">
        <v>188</v>
      </c>
      <c r="I606" s="5" t="s">
        <v>33</v>
      </c>
      <c r="J606" s="5" t="s">
        <v>276</v>
      </c>
      <c r="K606" s="5" t="s">
        <v>276</v>
      </c>
      <c r="L606" s="5" t="s">
        <v>26</v>
      </c>
      <c r="M606" s="5" t="s">
        <v>276</v>
      </c>
      <c r="N606" s="5" t="s">
        <v>38</v>
      </c>
      <c r="O606" s="5">
        <v>6</v>
      </c>
      <c r="P606" s="5">
        <v>211</v>
      </c>
      <c r="Q606" s="5">
        <v>20</v>
      </c>
      <c r="R606" s="5" t="s">
        <v>28</v>
      </c>
      <c r="S606" s="5" t="s">
        <v>29</v>
      </c>
      <c r="T606" s="5" t="s">
        <v>290</v>
      </c>
      <c r="U606" s="7" t="s">
        <v>269</v>
      </c>
    </row>
    <row r="607" spans="1:21" x14ac:dyDescent="0.25">
      <c r="A607" s="4">
        <v>1426278</v>
      </c>
      <c r="B607" s="5" t="s">
        <v>35</v>
      </c>
      <c r="C607" s="6">
        <v>45406</v>
      </c>
      <c r="D607" s="5" t="s">
        <v>359</v>
      </c>
      <c r="E607" s="5" t="s">
        <v>187</v>
      </c>
      <c r="F607" s="5" t="s">
        <v>261</v>
      </c>
      <c r="G607" s="5" t="s">
        <v>21</v>
      </c>
      <c r="H607" s="5" t="s">
        <v>187</v>
      </c>
      <c r="I607" s="5" t="s">
        <v>229</v>
      </c>
      <c r="J607" s="5" t="s">
        <v>277</v>
      </c>
      <c r="K607" s="5" t="s">
        <v>277</v>
      </c>
      <c r="L607" s="5" t="s">
        <v>26</v>
      </c>
      <c r="M607" s="5" t="s">
        <v>229</v>
      </c>
      <c r="N607" s="5" t="s">
        <v>27</v>
      </c>
      <c r="O607" s="5">
        <v>4</v>
      </c>
      <c r="P607" s="5">
        <v>225</v>
      </c>
      <c r="Q607" s="5">
        <v>20</v>
      </c>
      <c r="R607" s="5" t="s">
        <v>28</v>
      </c>
      <c r="S607" s="5" t="s">
        <v>29</v>
      </c>
      <c r="T607" s="5" t="s">
        <v>186</v>
      </c>
      <c r="U607" s="7" t="s">
        <v>237</v>
      </c>
    </row>
    <row r="608" spans="1:21" x14ac:dyDescent="0.25">
      <c r="A608" s="4">
        <v>1426279</v>
      </c>
      <c r="B608" s="5" t="s">
        <v>47</v>
      </c>
      <c r="C608" s="6">
        <v>45407</v>
      </c>
      <c r="D608" s="5" t="s">
        <v>359</v>
      </c>
      <c r="E608" s="5" t="s">
        <v>304</v>
      </c>
      <c r="F608" s="5" t="s">
        <v>310</v>
      </c>
      <c r="G608" s="5" t="s">
        <v>21</v>
      </c>
      <c r="H608" s="5" t="s">
        <v>304</v>
      </c>
      <c r="I608" s="5" t="s">
        <v>24</v>
      </c>
      <c r="J608" s="5" t="s">
        <v>121</v>
      </c>
      <c r="K608" s="5" t="s">
        <v>24</v>
      </c>
      <c r="L608" s="5" t="s">
        <v>34</v>
      </c>
      <c r="M608" s="5" t="s">
        <v>24</v>
      </c>
      <c r="N608" s="5" t="s">
        <v>27</v>
      </c>
      <c r="O608" s="5">
        <v>35</v>
      </c>
      <c r="P608" s="5">
        <v>207</v>
      </c>
      <c r="Q608" s="5">
        <v>20</v>
      </c>
      <c r="R608" s="5" t="s">
        <v>28</v>
      </c>
      <c r="S608" s="5" t="s">
        <v>29</v>
      </c>
      <c r="T608" s="5" t="s">
        <v>174</v>
      </c>
      <c r="U608" s="7" t="s">
        <v>270</v>
      </c>
    </row>
    <row r="609" spans="1:21" x14ac:dyDescent="0.25">
      <c r="A609" s="4">
        <v>1426280</v>
      </c>
      <c r="B609" s="5" t="s">
        <v>42</v>
      </c>
      <c r="C609" s="6">
        <v>45408</v>
      </c>
      <c r="D609" s="5" t="s">
        <v>359</v>
      </c>
      <c r="E609" s="5" t="s">
        <v>231</v>
      </c>
      <c r="F609" s="5" t="s">
        <v>303</v>
      </c>
      <c r="G609" s="5" t="s">
        <v>21</v>
      </c>
      <c r="H609" s="5" t="s">
        <v>231</v>
      </c>
      <c r="I609" s="5" t="s">
        <v>25</v>
      </c>
      <c r="J609" s="5" t="s">
        <v>254</v>
      </c>
      <c r="K609" s="5" t="s">
        <v>254</v>
      </c>
      <c r="L609" s="5" t="s">
        <v>26</v>
      </c>
      <c r="M609" s="5" t="s">
        <v>254</v>
      </c>
      <c r="N609" s="5" t="s">
        <v>38</v>
      </c>
      <c r="O609" s="5">
        <v>8</v>
      </c>
      <c r="P609" s="5">
        <v>262</v>
      </c>
      <c r="Q609" s="5">
        <v>20</v>
      </c>
      <c r="R609" s="5" t="s">
        <v>28</v>
      </c>
      <c r="S609" s="5" t="s">
        <v>29</v>
      </c>
      <c r="T609" s="5" t="s">
        <v>105</v>
      </c>
      <c r="U609" s="7" t="s">
        <v>202</v>
      </c>
    </row>
    <row r="610" spans="1:21" x14ac:dyDescent="0.25">
      <c r="A610" s="4">
        <v>1426281</v>
      </c>
      <c r="B610" s="5" t="s">
        <v>35</v>
      </c>
      <c r="C610" s="6">
        <v>45409</v>
      </c>
      <c r="D610" s="5" t="s">
        <v>359</v>
      </c>
      <c r="E610" s="5" t="s">
        <v>346</v>
      </c>
      <c r="F610" s="5" t="s">
        <v>261</v>
      </c>
      <c r="G610" s="5" t="s">
        <v>21</v>
      </c>
      <c r="H610" s="5" t="s">
        <v>346</v>
      </c>
      <c r="I610" s="5" t="s">
        <v>229</v>
      </c>
      <c r="J610" s="5" t="s">
        <v>41</v>
      </c>
      <c r="K610" s="5" t="s">
        <v>41</v>
      </c>
      <c r="L610" s="5" t="s">
        <v>26</v>
      </c>
      <c r="M610" s="5" t="s">
        <v>229</v>
      </c>
      <c r="N610" s="5" t="s">
        <v>27</v>
      </c>
      <c r="O610" s="5">
        <v>10</v>
      </c>
      <c r="P610" s="5">
        <v>258</v>
      </c>
      <c r="Q610" s="5">
        <v>20</v>
      </c>
      <c r="R610" s="5" t="s">
        <v>28</v>
      </c>
      <c r="S610" s="5" t="s">
        <v>29</v>
      </c>
      <c r="T610" s="5" t="s">
        <v>259</v>
      </c>
      <c r="U610" s="7" t="s">
        <v>290</v>
      </c>
    </row>
    <row r="611" spans="1:21" x14ac:dyDescent="0.25">
      <c r="A611" s="4">
        <v>1426282</v>
      </c>
      <c r="B611" s="5" t="s">
        <v>307</v>
      </c>
      <c r="C611" s="6">
        <v>45409</v>
      </c>
      <c r="D611" s="5" t="s">
        <v>359</v>
      </c>
      <c r="E611" s="5" t="s">
        <v>131</v>
      </c>
      <c r="F611" s="5" t="s">
        <v>309</v>
      </c>
      <c r="G611" s="5" t="s">
        <v>21</v>
      </c>
      <c r="H611" s="5" t="s">
        <v>131</v>
      </c>
      <c r="I611" s="5" t="s">
        <v>276</v>
      </c>
      <c r="J611" s="5" t="s">
        <v>37</v>
      </c>
      <c r="K611" s="5" t="s">
        <v>37</v>
      </c>
      <c r="L611" s="5" t="s">
        <v>26</v>
      </c>
      <c r="M611" s="5" t="s">
        <v>37</v>
      </c>
      <c r="N611" s="5" t="s">
        <v>38</v>
      </c>
      <c r="O611" s="5">
        <v>7</v>
      </c>
      <c r="P611" s="5">
        <v>197</v>
      </c>
      <c r="Q611" s="5">
        <v>20</v>
      </c>
      <c r="R611" s="5" t="s">
        <v>28</v>
      </c>
      <c r="S611" s="5" t="s">
        <v>29</v>
      </c>
      <c r="T611" s="5" t="s">
        <v>186</v>
      </c>
      <c r="U611" s="7" t="s">
        <v>266</v>
      </c>
    </row>
    <row r="612" spans="1:21" x14ac:dyDescent="0.25">
      <c r="A612" s="4">
        <v>1426283</v>
      </c>
      <c r="B612" s="5" t="s">
        <v>77</v>
      </c>
      <c r="C612" s="6">
        <v>45410</v>
      </c>
      <c r="D612" s="5" t="s">
        <v>359</v>
      </c>
      <c r="E612" s="5" t="s">
        <v>347</v>
      </c>
      <c r="F612" s="5" t="s">
        <v>260</v>
      </c>
      <c r="G612" s="5" t="s">
        <v>21</v>
      </c>
      <c r="H612" s="5" t="s">
        <v>347</v>
      </c>
      <c r="I612" s="5" t="s">
        <v>277</v>
      </c>
      <c r="J612" s="5" t="s">
        <v>24</v>
      </c>
      <c r="K612" s="5" t="s">
        <v>24</v>
      </c>
      <c r="L612" s="5" t="s">
        <v>26</v>
      </c>
      <c r="M612" s="5" t="s">
        <v>24</v>
      </c>
      <c r="N612" s="5" t="s">
        <v>38</v>
      </c>
      <c r="O612" s="5">
        <v>9</v>
      </c>
      <c r="P612" s="5">
        <v>201</v>
      </c>
      <c r="Q612" s="5">
        <v>20</v>
      </c>
      <c r="R612" s="5" t="s">
        <v>28</v>
      </c>
      <c r="S612" s="5" t="s">
        <v>29</v>
      </c>
      <c r="T612" s="5" t="s">
        <v>174</v>
      </c>
      <c r="U612" s="7" t="s">
        <v>173</v>
      </c>
    </row>
    <row r="613" spans="1:21" x14ac:dyDescent="0.25">
      <c r="A613" s="4">
        <v>1426284</v>
      </c>
      <c r="B613" s="5" t="s">
        <v>49</v>
      </c>
      <c r="C613" s="6">
        <v>45410</v>
      </c>
      <c r="D613" s="5" t="s">
        <v>359</v>
      </c>
      <c r="E613" s="5" t="s">
        <v>250</v>
      </c>
      <c r="F613" s="5" t="s">
        <v>252</v>
      </c>
      <c r="G613" s="5" t="s">
        <v>21</v>
      </c>
      <c r="H613" s="5" t="s">
        <v>250</v>
      </c>
      <c r="I613" s="5" t="s">
        <v>33</v>
      </c>
      <c r="J613" s="5" t="s">
        <v>121</v>
      </c>
      <c r="K613" s="5" t="s">
        <v>121</v>
      </c>
      <c r="L613" s="5" t="s">
        <v>26</v>
      </c>
      <c r="M613" s="5" t="s">
        <v>33</v>
      </c>
      <c r="N613" s="5" t="s">
        <v>27</v>
      </c>
      <c r="O613" s="5">
        <v>78</v>
      </c>
      <c r="P613" s="5">
        <v>213</v>
      </c>
      <c r="Q613" s="5">
        <v>20</v>
      </c>
      <c r="R613" s="5" t="s">
        <v>28</v>
      </c>
      <c r="S613" s="5" t="s">
        <v>29</v>
      </c>
      <c r="T613" s="5" t="s">
        <v>288</v>
      </c>
      <c r="U613" s="7" t="s">
        <v>317</v>
      </c>
    </row>
    <row r="614" spans="1:21" x14ac:dyDescent="0.25">
      <c r="A614" s="4">
        <v>1426285</v>
      </c>
      <c r="B614" s="5" t="s">
        <v>42</v>
      </c>
      <c r="C614" s="6">
        <v>45411</v>
      </c>
      <c r="D614" s="5" t="s">
        <v>359</v>
      </c>
      <c r="E614" s="5" t="s">
        <v>248</v>
      </c>
      <c r="F614" s="5" t="s">
        <v>303</v>
      </c>
      <c r="G614" s="5" t="s">
        <v>21</v>
      </c>
      <c r="H614" s="5" t="s">
        <v>248</v>
      </c>
      <c r="I614" s="5" t="s">
        <v>229</v>
      </c>
      <c r="J614" s="5" t="s">
        <v>25</v>
      </c>
      <c r="K614" s="5" t="s">
        <v>229</v>
      </c>
      <c r="L614" s="5" t="s">
        <v>34</v>
      </c>
      <c r="M614" s="5" t="s">
        <v>25</v>
      </c>
      <c r="N614" s="5" t="s">
        <v>38</v>
      </c>
      <c r="O614" s="5">
        <v>7</v>
      </c>
      <c r="P614" s="5">
        <v>154</v>
      </c>
      <c r="Q614" s="5">
        <v>20</v>
      </c>
      <c r="R614" s="5" t="s">
        <v>28</v>
      </c>
      <c r="S614" s="5" t="s">
        <v>29</v>
      </c>
      <c r="T614" s="5" t="s">
        <v>259</v>
      </c>
      <c r="U614" s="7" t="s">
        <v>269</v>
      </c>
    </row>
    <row r="615" spans="1:21" x14ac:dyDescent="0.25">
      <c r="A615" s="4">
        <v>1426286</v>
      </c>
      <c r="B615" s="5" t="s">
        <v>307</v>
      </c>
      <c r="C615" s="6">
        <v>45412</v>
      </c>
      <c r="D615" s="5" t="s">
        <v>359</v>
      </c>
      <c r="E615" s="5" t="s">
        <v>188</v>
      </c>
      <c r="F615" s="5" t="s">
        <v>309</v>
      </c>
      <c r="G615" s="5" t="s">
        <v>21</v>
      </c>
      <c r="H615" s="5" t="s">
        <v>188</v>
      </c>
      <c r="I615" s="5" t="s">
        <v>41</v>
      </c>
      <c r="J615" s="5" t="s">
        <v>276</v>
      </c>
      <c r="K615" s="5" t="s">
        <v>276</v>
      </c>
      <c r="L615" s="5" t="s">
        <v>26</v>
      </c>
      <c r="M615" s="5" t="s">
        <v>276</v>
      </c>
      <c r="N615" s="5" t="s">
        <v>38</v>
      </c>
      <c r="O615" s="5">
        <v>4</v>
      </c>
      <c r="P615" s="5">
        <v>145</v>
      </c>
      <c r="Q615" s="5">
        <v>20</v>
      </c>
      <c r="R615" s="5" t="s">
        <v>28</v>
      </c>
      <c r="S615" s="5" t="s">
        <v>29</v>
      </c>
      <c r="T615" s="5" t="s">
        <v>266</v>
      </c>
      <c r="U615" s="7" t="s">
        <v>237</v>
      </c>
    </row>
    <row r="616" spans="1:21" x14ac:dyDescent="0.25">
      <c r="A616" s="4">
        <v>1426287</v>
      </c>
      <c r="B616" s="5" t="s">
        <v>49</v>
      </c>
      <c r="C616" s="6">
        <v>45413</v>
      </c>
      <c r="D616" s="5" t="s">
        <v>359</v>
      </c>
      <c r="E616" s="5" t="s">
        <v>262</v>
      </c>
      <c r="F616" s="5" t="s">
        <v>252</v>
      </c>
      <c r="G616" s="5" t="s">
        <v>21</v>
      </c>
      <c r="H616" s="5" t="s">
        <v>262</v>
      </c>
      <c r="I616" s="5" t="s">
        <v>33</v>
      </c>
      <c r="J616" s="5" t="s">
        <v>254</v>
      </c>
      <c r="K616" s="5" t="s">
        <v>254</v>
      </c>
      <c r="L616" s="5" t="s">
        <v>26</v>
      </c>
      <c r="M616" s="5" t="s">
        <v>254</v>
      </c>
      <c r="N616" s="5" t="s">
        <v>38</v>
      </c>
      <c r="O616" s="5">
        <v>7</v>
      </c>
      <c r="P616" s="5">
        <v>163</v>
      </c>
      <c r="Q616" s="5">
        <v>20</v>
      </c>
      <c r="R616" s="5" t="s">
        <v>28</v>
      </c>
      <c r="S616" s="5" t="s">
        <v>29</v>
      </c>
      <c r="T616" s="5" t="s">
        <v>270</v>
      </c>
      <c r="U616" s="7" t="s">
        <v>173</v>
      </c>
    </row>
    <row r="617" spans="1:21" x14ac:dyDescent="0.25">
      <c r="A617" s="4">
        <v>1426288</v>
      </c>
      <c r="B617" s="5" t="s">
        <v>47</v>
      </c>
      <c r="C617" s="6">
        <v>45414</v>
      </c>
      <c r="D617" s="5" t="s">
        <v>359</v>
      </c>
      <c r="E617" s="5" t="s">
        <v>147</v>
      </c>
      <c r="F617" s="5" t="s">
        <v>310</v>
      </c>
      <c r="G617" s="5" t="s">
        <v>21</v>
      </c>
      <c r="H617" s="5" t="s">
        <v>147</v>
      </c>
      <c r="I617" s="5" t="s">
        <v>121</v>
      </c>
      <c r="J617" s="5" t="s">
        <v>37</v>
      </c>
      <c r="K617" s="5" t="s">
        <v>121</v>
      </c>
      <c r="L617" s="5" t="s">
        <v>34</v>
      </c>
      <c r="M617" s="5" t="s">
        <v>121</v>
      </c>
      <c r="N617" s="5" t="s">
        <v>27</v>
      </c>
      <c r="O617" s="5">
        <v>1</v>
      </c>
      <c r="P617" s="5">
        <v>202</v>
      </c>
      <c r="Q617" s="5">
        <v>20</v>
      </c>
      <c r="R617" s="5" t="s">
        <v>28</v>
      </c>
      <c r="S617" s="5" t="s">
        <v>29</v>
      </c>
      <c r="T617" s="5" t="s">
        <v>105</v>
      </c>
      <c r="U617" s="7" t="s">
        <v>202</v>
      </c>
    </row>
    <row r="618" spans="1:21" x14ac:dyDescent="0.25">
      <c r="A618" s="4">
        <v>1426289</v>
      </c>
      <c r="B618" s="5" t="s">
        <v>39</v>
      </c>
      <c r="C618" s="6">
        <v>45415</v>
      </c>
      <c r="D618" s="5" t="s">
        <v>359</v>
      </c>
      <c r="E618" s="5" t="s">
        <v>273</v>
      </c>
      <c r="F618" s="5" t="s">
        <v>253</v>
      </c>
      <c r="G618" s="5" t="s">
        <v>21</v>
      </c>
      <c r="H618" s="5" t="s">
        <v>273</v>
      </c>
      <c r="I618" s="5" t="s">
        <v>25</v>
      </c>
      <c r="J618" s="5" t="s">
        <v>41</v>
      </c>
      <c r="K618" s="5" t="s">
        <v>41</v>
      </c>
      <c r="L618" s="5" t="s">
        <v>26</v>
      </c>
      <c r="M618" s="5" t="s">
        <v>25</v>
      </c>
      <c r="N618" s="5" t="s">
        <v>27</v>
      </c>
      <c r="O618" s="5">
        <v>24</v>
      </c>
      <c r="P618" s="5">
        <v>170</v>
      </c>
      <c r="Q618" s="5">
        <v>20</v>
      </c>
      <c r="R618" s="5" t="s">
        <v>28</v>
      </c>
      <c r="S618" s="5" t="s">
        <v>29</v>
      </c>
      <c r="T618" s="5" t="s">
        <v>258</v>
      </c>
      <c r="U618" s="7" t="s">
        <v>269</v>
      </c>
    </row>
    <row r="619" spans="1:21" x14ac:dyDescent="0.25">
      <c r="A619" s="4">
        <v>1426290</v>
      </c>
      <c r="B619" s="5" t="s">
        <v>195</v>
      </c>
      <c r="C619" s="6">
        <v>45416</v>
      </c>
      <c r="D619" s="5" t="s">
        <v>359</v>
      </c>
      <c r="E619" s="5" t="s">
        <v>209</v>
      </c>
      <c r="F619" s="5" t="s">
        <v>311</v>
      </c>
      <c r="G619" s="5" t="s">
        <v>21</v>
      </c>
      <c r="H619" s="5" t="s">
        <v>209</v>
      </c>
      <c r="I619" s="5" t="s">
        <v>277</v>
      </c>
      <c r="J619" s="5" t="s">
        <v>24</v>
      </c>
      <c r="K619" s="5" t="s">
        <v>24</v>
      </c>
      <c r="L619" s="5" t="s">
        <v>26</v>
      </c>
      <c r="M619" s="5" t="s">
        <v>24</v>
      </c>
      <c r="N619" s="5" t="s">
        <v>38</v>
      </c>
      <c r="O619" s="5">
        <v>4</v>
      </c>
      <c r="P619" s="5">
        <v>148</v>
      </c>
      <c r="Q619" s="5">
        <v>20</v>
      </c>
      <c r="R619" s="5" t="s">
        <v>28</v>
      </c>
      <c r="S619" s="5" t="s">
        <v>29</v>
      </c>
      <c r="T619" s="5" t="s">
        <v>312</v>
      </c>
      <c r="U619" s="7" t="s">
        <v>318</v>
      </c>
    </row>
    <row r="620" spans="1:21" x14ac:dyDescent="0.25">
      <c r="A620" s="4">
        <v>1426291</v>
      </c>
      <c r="B620" s="5" t="s">
        <v>88</v>
      </c>
      <c r="C620" s="6">
        <v>45417</v>
      </c>
      <c r="D620" s="5" t="s">
        <v>359</v>
      </c>
      <c r="E620" s="5" t="s">
        <v>108</v>
      </c>
      <c r="F620" s="5" t="s">
        <v>333</v>
      </c>
      <c r="G620" s="5" t="s">
        <v>21</v>
      </c>
      <c r="H620" s="5" t="s">
        <v>108</v>
      </c>
      <c r="I620" s="5" t="s">
        <v>33</v>
      </c>
      <c r="J620" s="5" t="s">
        <v>254</v>
      </c>
      <c r="K620" s="5" t="s">
        <v>254</v>
      </c>
      <c r="L620" s="5" t="s">
        <v>26</v>
      </c>
      <c r="M620" s="5" t="s">
        <v>33</v>
      </c>
      <c r="N620" s="5" t="s">
        <v>27</v>
      </c>
      <c r="O620" s="5">
        <v>28</v>
      </c>
      <c r="P620" s="5">
        <v>168</v>
      </c>
      <c r="Q620" s="5">
        <v>20</v>
      </c>
      <c r="R620" s="5" t="s">
        <v>28</v>
      </c>
      <c r="S620" s="5" t="s">
        <v>29</v>
      </c>
      <c r="T620" s="5" t="s">
        <v>178</v>
      </c>
      <c r="U620" s="7" t="s">
        <v>110</v>
      </c>
    </row>
    <row r="621" spans="1:21" x14ac:dyDescent="0.25">
      <c r="A621" s="4">
        <v>1426292</v>
      </c>
      <c r="B621" s="5" t="s">
        <v>307</v>
      </c>
      <c r="C621" s="6">
        <v>45417</v>
      </c>
      <c r="D621" s="5" t="s">
        <v>359</v>
      </c>
      <c r="E621" s="5" t="s">
        <v>115</v>
      </c>
      <c r="F621" s="5" t="s">
        <v>309</v>
      </c>
      <c r="G621" s="5" t="s">
        <v>21</v>
      </c>
      <c r="H621" s="5" t="s">
        <v>115</v>
      </c>
      <c r="I621" s="5" t="s">
        <v>25</v>
      </c>
      <c r="J621" s="5" t="s">
        <v>276</v>
      </c>
      <c r="K621" s="5" t="s">
        <v>276</v>
      </c>
      <c r="L621" s="5" t="s">
        <v>26</v>
      </c>
      <c r="M621" s="5" t="s">
        <v>25</v>
      </c>
      <c r="N621" s="5" t="s">
        <v>27</v>
      </c>
      <c r="O621" s="5">
        <v>98</v>
      </c>
      <c r="P621" s="5">
        <v>236</v>
      </c>
      <c r="Q621" s="5">
        <v>20</v>
      </c>
      <c r="R621" s="5" t="s">
        <v>28</v>
      </c>
      <c r="S621" s="5" t="s">
        <v>29</v>
      </c>
      <c r="T621" s="5" t="s">
        <v>317</v>
      </c>
      <c r="U621" s="7" t="s">
        <v>202</v>
      </c>
    </row>
    <row r="622" spans="1:21" x14ac:dyDescent="0.25">
      <c r="A622" s="4">
        <v>1426293</v>
      </c>
      <c r="B622" s="5" t="s">
        <v>39</v>
      </c>
      <c r="C622" s="6">
        <v>45418</v>
      </c>
      <c r="D622" s="5" t="s">
        <v>359</v>
      </c>
      <c r="E622" s="5" t="s">
        <v>181</v>
      </c>
      <c r="F622" s="5" t="s">
        <v>253</v>
      </c>
      <c r="G622" s="5" t="s">
        <v>21</v>
      </c>
      <c r="H622" s="5" t="s">
        <v>181</v>
      </c>
      <c r="I622" s="5" t="s">
        <v>121</v>
      </c>
      <c r="J622" s="5" t="s">
        <v>41</v>
      </c>
      <c r="K622" s="5" t="s">
        <v>41</v>
      </c>
      <c r="L622" s="5" t="s">
        <v>26</v>
      </c>
      <c r="M622" s="5" t="s">
        <v>41</v>
      </c>
      <c r="N622" s="5" t="s">
        <v>38</v>
      </c>
      <c r="O622" s="5">
        <v>7</v>
      </c>
      <c r="P622" s="5">
        <v>174</v>
      </c>
      <c r="Q622" s="5">
        <v>20</v>
      </c>
      <c r="R622" s="5" t="s">
        <v>28</v>
      </c>
      <c r="S622" s="5" t="s">
        <v>29</v>
      </c>
      <c r="T622" s="5" t="s">
        <v>259</v>
      </c>
      <c r="U622" s="7" t="s">
        <v>269</v>
      </c>
    </row>
    <row r="623" spans="1:21" x14ac:dyDescent="0.25">
      <c r="A623" s="4">
        <v>1426294</v>
      </c>
      <c r="B623" s="5" t="s">
        <v>35</v>
      </c>
      <c r="C623" s="6">
        <v>45419</v>
      </c>
      <c r="D623" s="5" t="s">
        <v>359</v>
      </c>
      <c r="E623" s="5" t="s">
        <v>226</v>
      </c>
      <c r="F623" s="5" t="s">
        <v>261</v>
      </c>
      <c r="G623" s="5" t="s">
        <v>21</v>
      </c>
      <c r="H623" s="5" t="s">
        <v>226</v>
      </c>
      <c r="I623" s="5" t="s">
        <v>229</v>
      </c>
      <c r="J623" s="5" t="s">
        <v>37</v>
      </c>
      <c r="K623" s="5" t="s">
        <v>37</v>
      </c>
      <c r="L623" s="5" t="s">
        <v>26</v>
      </c>
      <c r="M623" s="5" t="s">
        <v>229</v>
      </c>
      <c r="N623" s="5" t="s">
        <v>27</v>
      </c>
      <c r="O623" s="5">
        <v>20</v>
      </c>
      <c r="P623" s="5">
        <v>222</v>
      </c>
      <c r="Q623" s="5">
        <v>20</v>
      </c>
      <c r="R623" s="5" t="s">
        <v>28</v>
      </c>
      <c r="S623" s="5" t="s">
        <v>29</v>
      </c>
      <c r="T623" s="5" t="s">
        <v>186</v>
      </c>
      <c r="U623" s="7" t="s">
        <v>237</v>
      </c>
    </row>
    <row r="624" spans="1:21" x14ac:dyDescent="0.25">
      <c r="A624" s="4">
        <v>1426295</v>
      </c>
      <c r="B624" s="5" t="s">
        <v>47</v>
      </c>
      <c r="C624" s="6">
        <v>45420</v>
      </c>
      <c r="D624" s="5" t="s">
        <v>359</v>
      </c>
      <c r="E624" s="5" t="s">
        <v>344</v>
      </c>
      <c r="F624" s="5" t="s">
        <v>310</v>
      </c>
      <c r="G624" s="5" t="s">
        <v>21</v>
      </c>
      <c r="H624" s="5" t="s">
        <v>344</v>
      </c>
      <c r="I624" s="5" t="s">
        <v>276</v>
      </c>
      <c r="J624" s="5" t="s">
        <v>121</v>
      </c>
      <c r="K624" s="5" t="s">
        <v>276</v>
      </c>
      <c r="L624" s="5" t="s">
        <v>34</v>
      </c>
      <c r="M624" s="5" t="s">
        <v>121</v>
      </c>
      <c r="N624" s="5" t="s">
        <v>38</v>
      </c>
      <c r="O624" s="5">
        <v>10</v>
      </c>
      <c r="P624" s="5">
        <v>166</v>
      </c>
      <c r="Q624" s="5">
        <v>20</v>
      </c>
      <c r="R624" s="5" t="s">
        <v>28</v>
      </c>
      <c r="S624" s="5" t="s">
        <v>29</v>
      </c>
      <c r="T624" s="5" t="s">
        <v>317</v>
      </c>
      <c r="U624" s="7" t="s">
        <v>202</v>
      </c>
    </row>
    <row r="625" spans="1:21" x14ac:dyDescent="0.25">
      <c r="A625" s="4">
        <v>1426296</v>
      </c>
      <c r="B625" s="5" t="s">
        <v>88</v>
      </c>
      <c r="C625" s="6">
        <v>45421</v>
      </c>
      <c r="D625" s="5" t="s">
        <v>359</v>
      </c>
      <c r="E625" s="5" t="s">
        <v>92</v>
      </c>
      <c r="F625" s="5" t="s">
        <v>333</v>
      </c>
      <c r="G625" s="5" t="s">
        <v>21</v>
      </c>
      <c r="H625" s="5" t="s">
        <v>92</v>
      </c>
      <c r="I625" s="5" t="s">
        <v>24</v>
      </c>
      <c r="J625" s="5" t="s">
        <v>254</v>
      </c>
      <c r="K625" s="5" t="s">
        <v>254</v>
      </c>
      <c r="L625" s="5" t="s">
        <v>26</v>
      </c>
      <c r="M625" s="5" t="s">
        <v>24</v>
      </c>
      <c r="N625" s="5" t="s">
        <v>27</v>
      </c>
      <c r="O625" s="5">
        <v>60</v>
      </c>
      <c r="P625" s="5">
        <v>242</v>
      </c>
      <c r="Q625" s="5">
        <v>20</v>
      </c>
      <c r="R625" s="5" t="s">
        <v>28</v>
      </c>
      <c r="S625" s="5" t="s">
        <v>29</v>
      </c>
      <c r="T625" s="5" t="s">
        <v>174</v>
      </c>
      <c r="U625" s="7" t="s">
        <v>270</v>
      </c>
    </row>
    <row r="626" spans="1:21" x14ac:dyDescent="0.25">
      <c r="A626" s="4">
        <v>1426297</v>
      </c>
      <c r="B626" s="5" t="s">
        <v>77</v>
      </c>
      <c r="C626" s="6">
        <v>45422</v>
      </c>
      <c r="D626" s="5" t="s">
        <v>359</v>
      </c>
      <c r="E626" s="5" t="s">
        <v>242</v>
      </c>
      <c r="F626" s="5" t="s">
        <v>260</v>
      </c>
      <c r="G626" s="5" t="s">
        <v>21</v>
      </c>
      <c r="H626" s="5" t="s">
        <v>242</v>
      </c>
      <c r="I626" s="5" t="s">
        <v>277</v>
      </c>
      <c r="J626" s="5" t="s">
        <v>33</v>
      </c>
      <c r="K626" s="5" t="s">
        <v>33</v>
      </c>
      <c r="L626" s="5" t="s">
        <v>26</v>
      </c>
      <c r="M626" s="5" t="s">
        <v>277</v>
      </c>
      <c r="N626" s="5" t="s">
        <v>27</v>
      </c>
      <c r="O626" s="5">
        <v>35</v>
      </c>
      <c r="P626" s="5">
        <v>232</v>
      </c>
      <c r="Q626" s="5">
        <v>20</v>
      </c>
      <c r="R626" s="5" t="s">
        <v>28</v>
      </c>
      <c r="S626" s="5" t="s">
        <v>29</v>
      </c>
      <c r="T626" s="5" t="s">
        <v>186</v>
      </c>
      <c r="U626" s="7" t="s">
        <v>290</v>
      </c>
    </row>
    <row r="627" spans="1:21" x14ac:dyDescent="0.25">
      <c r="A627" s="4">
        <v>1426298</v>
      </c>
      <c r="B627" s="5" t="s">
        <v>42</v>
      </c>
      <c r="C627" s="6">
        <v>45423</v>
      </c>
      <c r="D627" s="5" t="s">
        <v>359</v>
      </c>
      <c r="E627" s="5" t="s">
        <v>248</v>
      </c>
      <c r="F627" s="5" t="s">
        <v>303</v>
      </c>
      <c r="G627" s="5" t="s">
        <v>21</v>
      </c>
      <c r="H627" s="5" t="s">
        <v>248</v>
      </c>
      <c r="I627" s="5" t="s">
        <v>25</v>
      </c>
      <c r="J627" s="5" t="s">
        <v>41</v>
      </c>
      <c r="K627" s="5" t="s">
        <v>41</v>
      </c>
      <c r="L627" s="5" t="s">
        <v>26</v>
      </c>
      <c r="M627" s="5" t="s">
        <v>25</v>
      </c>
      <c r="N627" s="5" t="s">
        <v>27</v>
      </c>
      <c r="O627" s="5">
        <v>18</v>
      </c>
      <c r="P627" s="5">
        <v>158</v>
      </c>
      <c r="Q627" s="5">
        <v>16</v>
      </c>
      <c r="R627" s="5" t="s">
        <v>28</v>
      </c>
      <c r="S627" s="5" t="s">
        <v>29</v>
      </c>
      <c r="T627" s="5" t="s">
        <v>237</v>
      </c>
      <c r="U627" s="7" t="s">
        <v>318</v>
      </c>
    </row>
    <row r="628" spans="1:21" x14ac:dyDescent="0.25">
      <c r="A628" s="4">
        <v>1426299</v>
      </c>
      <c r="B628" s="5" t="s">
        <v>49</v>
      </c>
      <c r="C628" s="6">
        <v>45424</v>
      </c>
      <c r="D628" s="5" t="s">
        <v>359</v>
      </c>
      <c r="E628" s="5" t="s">
        <v>348</v>
      </c>
      <c r="F628" s="5" t="s">
        <v>252</v>
      </c>
      <c r="G628" s="5" t="s">
        <v>21</v>
      </c>
      <c r="H628" s="5" t="s">
        <v>348</v>
      </c>
      <c r="I628" s="5" t="s">
        <v>37</v>
      </c>
      <c r="J628" s="5" t="s">
        <v>33</v>
      </c>
      <c r="K628" s="5" t="s">
        <v>37</v>
      </c>
      <c r="L628" s="5" t="s">
        <v>34</v>
      </c>
      <c r="M628" s="5" t="s">
        <v>33</v>
      </c>
      <c r="N628" s="5" t="s">
        <v>38</v>
      </c>
      <c r="O628" s="5">
        <v>5</v>
      </c>
      <c r="P628" s="5">
        <v>142</v>
      </c>
      <c r="Q628" s="5">
        <v>20</v>
      </c>
      <c r="R628" s="5" t="s">
        <v>28</v>
      </c>
      <c r="S628" s="5" t="s">
        <v>29</v>
      </c>
      <c r="T628" s="5" t="s">
        <v>288</v>
      </c>
      <c r="U628" s="7" t="s">
        <v>202</v>
      </c>
    </row>
    <row r="629" spans="1:21" x14ac:dyDescent="0.25">
      <c r="A629" s="4">
        <v>1426300</v>
      </c>
      <c r="B629" s="5" t="s">
        <v>195</v>
      </c>
      <c r="C629" s="6">
        <v>45424</v>
      </c>
      <c r="D629" s="5" t="s">
        <v>359</v>
      </c>
      <c r="E629" s="5" t="s">
        <v>322</v>
      </c>
      <c r="F629" s="5" t="s">
        <v>311</v>
      </c>
      <c r="G629" s="5" t="s">
        <v>21</v>
      </c>
      <c r="H629" s="5" t="s">
        <v>322</v>
      </c>
      <c r="I629" s="5" t="s">
        <v>24</v>
      </c>
      <c r="J629" s="5" t="s">
        <v>229</v>
      </c>
      <c r="K629" s="5" t="s">
        <v>229</v>
      </c>
      <c r="L629" s="5" t="s">
        <v>26</v>
      </c>
      <c r="M629" s="5" t="s">
        <v>24</v>
      </c>
      <c r="N629" s="5" t="s">
        <v>27</v>
      </c>
      <c r="O629" s="5">
        <v>47</v>
      </c>
      <c r="P629" s="5">
        <v>188</v>
      </c>
      <c r="Q629" s="5">
        <v>20</v>
      </c>
      <c r="R629" s="5" t="s">
        <v>28</v>
      </c>
      <c r="S629" s="5" t="s">
        <v>29</v>
      </c>
      <c r="T629" s="5" t="s">
        <v>178</v>
      </c>
      <c r="U629" s="7" t="s">
        <v>110</v>
      </c>
    </row>
    <row r="630" spans="1:21" x14ac:dyDescent="0.25">
      <c r="A630" s="4">
        <v>1426302</v>
      </c>
      <c r="B630" s="5" t="s">
        <v>35</v>
      </c>
      <c r="C630" s="6">
        <v>45426</v>
      </c>
      <c r="D630" s="5" t="s">
        <v>359</v>
      </c>
      <c r="E630" s="5" t="s">
        <v>93</v>
      </c>
      <c r="F630" s="5" t="s">
        <v>261</v>
      </c>
      <c r="G630" s="5" t="s">
        <v>21</v>
      </c>
      <c r="H630" s="5" t="s">
        <v>93</v>
      </c>
      <c r="I630" s="5" t="s">
        <v>229</v>
      </c>
      <c r="J630" s="5" t="s">
        <v>276</v>
      </c>
      <c r="K630" s="5" t="s">
        <v>276</v>
      </c>
      <c r="L630" s="5" t="s">
        <v>26</v>
      </c>
      <c r="M630" s="5" t="s">
        <v>229</v>
      </c>
      <c r="N630" s="5" t="s">
        <v>27</v>
      </c>
      <c r="O630" s="5">
        <v>19</v>
      </c>
      <c r="P630" s="5">
        <v>209</v>
      </c>
      <c r="Q630" s="5">
        <v>20</v>
      </c>
      <c r="R630" s="5" t="s">
        <v>28</v>
      </c>
      <c r="S630" s="5" t="s">
        <v>29</v>
      </c>
      <c r="T630" s="5" t="s">
        <v>312</v>
      </c>
      <c r="U630" s="7" t="s">
        <v>318</v>
      </c>
    </row>
    <row r="631" spans="1:21" x14ac:dyDescent="0.25">
      <c r="A631" s="4">
        <v>1426303</v>
      </c>
      <c r="B631" s="5" t="s">
        <v>314</v>
      </c>
      <c r="C631" s="6">
        <v>45427</v>
      </c>
      <c r="D631" s="5" t="s">
        <v>359</v>
      </c>
      <c r="E631" s="5" t="s">
        <v>232</v>
      </c>
      <c r="F631" s="5" t="s">
        <v>316</v>
      </c>
      <c r="G631" s="5" t="s">
        <v>21</v>
      </c>
      <c r="H631" s="5" t="s">
        <v>232</v>
      </c>
      <c r="I631" s="5" t="s">
        <v>37</v>
      </c>
      <c r="J631" s="5" t="s">
        <v>254</v>
      </c>
      <c r="K631" s="5" t="s">
        <v>37</v>
      </c>
      <c r="L631" s="5" t="s">
        <v>34</v>
      </c>
      <c r="M631" s="5" t="s">
        <v>254</v>
      </c>
      <c r="N631" s="5" t="s">
        <v>38</v>
      </c>
      <c r="O631" s="5">
        <v>5</v>
      </c>
      <c r="P631" s="5">
        <v>145</v>
      </c>
      <c r="Q631" s="5">
        <v>20</v>
      </c>
      <c r="R631" s="5" t="s">
        <v>28</v>
      </c>
      <c r="S631" s="5" t="s">
        <v>29</v>
      </c>
      <c r="T631" s="5" t="s">
        <v>288</v>
      </c>
      <c r="U631" s="7" t="s">
        <v>317</v>
      </c>
    </row>
    <row r="632" spans="1:21" x14ac:dyDescent="0.25">
      <c r="A632" s="4">
        <v>1426305</v>
      </c>
      <c r="B632" s="5" t="s">
        <v>39</v>
      </c>
      <c r="C632" s="6">
        <v>45429</v>
      </c>
      <c r="D632" s="5" t="s">
        <v>359</v>
      </c>
      <c r="E632" s="5" t="s">
        <v>319</v>
      </c>
      <c r="F632" s="5" t="s">
        <v>253</v>
      </c>
      <c r="G632" s="5" t="s">
        <v>21</v>
      </c>
      <c r="H632" s="5" t="s">
        <v>319</v>
      </c>
      <c r="I632" s="5" t="s">
        <v>276</v>
      </c>
      <c r="J632" s="5" t="s">
        <v>41</v>
      </c>
      <c r="K632" s="5" t="s">
        <v>41</v>
      </c>
      <c r="L632" s="5" t="s">
        <v>26</v>
      </c>
      <c r="M632" s="5" t="s">
        <v>276</v>
      </c>
      <c r="N632" s="5" t="s">
        <v>27</v>
      </c>
      <c r="O632" s="5">
        <v>18</v>
      </c>
      <c r="P632" s="5">
        <v>215</v>
      </c>
      <c r="Q632" s="5">
        <v>20</v>
      </c>
      <c r="R632" s="5" t="s">
        <v>28</v>
      </c>
      <c r="S632" s="5" t="s">
        <v>29</v>
      </c>
      <c r="T632" s="5" t="s">
        <v>259</v>
      </c>
      <c r="U632" s="7" t="s">
        <v>288</v>
      </c>
    </row>
    <row r="633" spans="1:21" x14ac:dyDescent="0.25">
      <c r="A633" s="4">
        <v>1426306</v>
      </c>
      <c r="B633" s="5" t="s">
        <v>195</v>
      </c>
      <c r="C633" s="6">
        <v>45430</v>
      </c>
      <c r="D633" s="5" t="s">
        <v>359</v>
      </c>
      <c r="E633" s="5" t="s">
        <v>114</v>
      </c>
      <c r="F633" s="5" t="s">
        <v>311</v>
      </c>
      <c r="G633" s="5" t="s">
        <v>21</v>
      </c>
      <c r="H633" s="5" t="s">
        <v>114</v>
      </c>
      <c r="I633" s="5" t="s">
        <v>24</v>
      </c>
      <c r="J633" s="5" t="s">
        <v>33</v>
      </c>
      <c r="K633" s="5" t="s">
        <v>33</v>
      </c>
      <c r="L633" s="5" t="s">
        <v>26</v>
      </c>
      <c r="M633" s="5" t="s">
        <v>24</v>
      </c>
      <c r="N633" s="5" t="s">
        <v>27</v>
      </c>
      <c r="O633" s="5">
        <v>27</v>
      </c>
      <c r="P633" s="5">
        <v>219</v>
      </c>
      <c r="Q633" s="5">
        <v>20</v>
      </c>
      <c r="R633" s="5" t="s">
        <v>28</v>
      </c>
      <c r="S633" s="5" t="s">
        <v>29</v>
      </c>
      <c r="T633" s="5" t="s">
        <v>312</v>
      </c>
      <c r="U633" s="7" t="s">
        <v>186</v>
      </c>
    </row>
    <row r="634" spans="1:21" x14ac:dyDescent="0.25">
      <c r="A634" s="4">
        <v>1426307</v>
      </c>
      <c r="B634" s="5" t="s">
        <v>47</v>
      </c>
      <c r="C634" s="6">
        <v>45431</v>
      </c>
      <c r="D634" s="5" t="s">
        <v>359</v>
      </c>
      <c r="E634" s="5" t="s">
        <v>283</v>
      </c>
      <c r="F634" s="5" t="s">
        <v>310</v>
      </c>
      <c r="G634" s="5" t="s">
        <v>21</v>
      </c>
      <c r="H634" s="5" t="s">
        <v>283</v>
      </c>
      <c r="I634" s="5" t="s">
        <v>254</v>
      </c>
      <c r="J634" s="5" t="s">
        <v>121</v>
      </c>
      <c r="K634" s="5" t="s">
        <v>254</v>
      </c>
      <c r="L634" s="5" t="s">
        <v>34</v>
      </c>
      <c r="M634" s="5" t="s">
        <v>121</v>
      </c>
      <c r="N634" s="5" t="s">
        <v>38</v>
      </c>
      <c r="O634" s="5">
        <v>4</v>
      </c>
      <c r="P634" s="5">
        <v>215</v>
      </c>
      <c r="Q634" s="5">
        <v>20</v>
      </c>
      <c r="R634" s="5" t="s">
        <v>28</v>
      </c>
      <c r="S634" s="5" t="s">
        <v>29</v>
      </c>
      <c r="T634" s="5" t="s">
        <v>174</v>
      </c>
      <c r="U634" s="7" t="s">
        <v>173</v>
      </c>
    </row>
    <row r="635" spans="1:21" x14ac:dyDescent="0.25">
      <c r="A635" s="4">
        <v>1426309</v>
      </c>
      <c r="B635" s="5" t="s">
        <v>77</v>
      </c>
      <c r="C635" s="6">
        <v>45433</v>
      </c>
      <c r="D635" s="5" t="s">
        <v>359</v>
      </c>
      <c r="E635" s="5" t="s">
        <v>162</v>
      </c>
      <c r="F635" s="5" t="s">
        <v>260</v>
      </c>
      <c r="G635" s="5" t="s">
        <v>100</v>
      </c>
      <c r="H635" s="5" t="s">
        <v>162</v>
      </c>
      <c r="I635" s="5" t="s">
        <v>121</v>
      </c>
      <c r="J635" s="5" t="s">
        <v>25</v>
      </c>
      <c r="K635" s="5" t="s">
        <v>121</v>
      </c>
      <c r="L635" s="5" t="s">
        <v>34</v>
      </c>
      <c r="M635" s="5" t="s">
        <v>25</v>
      </c>
      <c r="N635" s="5" t="s">
        <v>38</v>
      </c>
      <c r="O635" s="5">
        <v>8</v>
      </c>
      <c r="P635" s="5">
        <v>160</v>
      </c>
      <c r="Q635" s="5">
        <v>20</v>
      </c>
      <c r="R635" s="5" t="s">
        <v>28</v>
      </c>
      <c r="S635" s="5" t="s">
        <v>29</v>
      </c>
      <c r="T635" s="5" t="s">
        <v>105</v>
      </c>
      <c r="U635" s="7" t="s">
        <v>288</v>
      </c>
    </row>
    <row r="636" spans="1:21" x14ac:dyDescent="0.25">
      <c r="A636" s="4">
        <v>1426310</v>
      </c>
      <c r="B636" s="5" t="s">
        <v>77</v>
      </c>
      <c r="C636" s="6">
        <v>45434</v>
      </c>
      <c r="D636" s="5" t="s">
        <v>359</v>
      </c>
      <c r="E636" s="5" t="s">
        <v>87</v>
      </c>
      <c r="F636" s="5" t="s">
        <v>260</v>
      </c>
      <c r="G636" s="5" t="s">
        <v>136</v>
      </c>
      <c r="H636" s="5" t="s">
        <v>87</v>
      </c>
      <c r="I636" s="5" t="s">
        <v>24</v>
      </c>
      <c r="J636" s="5" t="s">
        <v>37</v>
      </c>
      <c r="K636" s="5" t="s">
        <v>37</v>
      </c>
      <c r="L636" s="5" t="s">
        <v>26</v>
      </c>
      <c r="M636" s="5" t="s">
        <v>37</v>
      </c>
      <c r="N636" s="5" t="s">
        <v>38</v>
      </c>
      <c r="O636" s="5">
        <v>4</v>
      </c>
      <c r="P636" s="5">
        <v>173</v>
      </c>
      <c r="Q636" s="5">
        <v>20</v>
      </c>
      <c r="R636" s="5" t="s">
        <v>28</v>
      </c>
      <c r="S636" s="5" t="s">
        <v>29</v>
      </c>
      <c r="T636" s="5" t="s">
        <v>186</v>
      </c>
      <c r="U636" s="7" t="s">
        <v>317</v>
      </c>
    </row>
    <row r="637" spans="1:21" x14ac:dyDescent="0.25">
      <c r="A637" s="4">
        <v>1426311</v>
      </c>
      <c r="B637" s="5" t="s">
        <v>49</v>
      </c>
      <c r="C637" s="6">
        <v>45436</v>
      </c>
      <c r="D637" s="5" t="s">
        <v>359</v>
      </c>
      <c r="E637" s="5" t="s">
        <v>349</v>
      </c>
      <c r="F637" s="5" t="s">
        <v>252</v>
      </c>
      <c r="G637" s="5" t="s">
        <v>102</v>
      </c>
      <c r="H637" s="5" t="s">
        <v>349</v>
      </c>
      <c r="I637" s="5" t="s">
        <v>121</v>
      </c>
      <c r="J637" s="5" t="s">
        <v>37</v>
      </c>
      <c r="K637" s="5" t="s">
        <v>37</v>
      </c>
      <c r="L637" s="5" t="s">
        <v>26</v>
      </c>
      <c r="M637" s="5" t="s">
        <v>121</v>
      </c>
      <c r="N637" s="5" t="s">
        <v>27</v>
      </c>
      <c r="O637" s="5">
        <v>36</v>
      </c>
      <c r="P637" s="5">
        <v>176</v>
      </c>
      <c r="Q637" s="5">
        <v>20</v>
      </c>
      <c r="R637" s="5" t="s">
        <v>28</v>
      </c>
      <c r="S637" s="5" t="s">
        <v>29</v>
      </c>
      <c r="T637" s="5" t="s">
        <v>174</v>
      </c>
      <c r="U637" s="7" t="s">
        <v>173</v>
      </c>
    </row>
    <row r="638" spans="1:21" x14ac:dyDescent="0.25">
      <c r="A638" s="8">
        <v>1426312</v>
      </c>
      <c r="B638" s="9" t="s">
        <v>49</v>
      </c>
      <c r="C638" s="10">
        <v>45438</v>
      </c>
      <c r="D638" s="9" t="s">
        <v>359</v>
      </c>
      <c r="E638" s="9" t="s">
        <v>162</v>
      </c>
      <c r="F638" s="9" t="s">
        <v>252</v>
      </c>
      <c r="G638" s="9" t="s">
        <v>61</v>
      </c>
      <c r="H638" s="9" t="s">
        <v>162</v>
      </c>
      <c r="I638" s="9" t="s">
        <v>121</v>
      </c>
      <c r="J638" s="9" t="s">
        <v>25</v>
      </c>
      <c r="K638" s="9" t="s">
        <v>121</v>
      </c>
      <c r="L638" s="9" t="s">
        <v>34</v>
      </c>
      <c r="M638" s="9" t="s">
        <v>25</v>
      </c>
      <c r="N638" s="9" t="s">
        <v>38</v>
      </c>
      <c r="O638" s="9">
        <v>8</v>
      </c>
      <c r="P638" s="9">
        <v>114</v>
      </c>
      <c r="Q638" s="9">
        <v>20</v>
      </c>
      <c r="R638" s="9" t="s">
        <v>28</v>
      </c>
      <c r="S638" s="9" t="s">
        <v>29</v>
      </c>
      <c r="T638" s="9" t="s">
        <v>258</v>
      </c>
      <c r="U638" s="11" t="s">
        <v>174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workbookViewId="0">
      <selection sqref="A1:E11"/>
    </sheetView>
  </sheetViews>
  <sheetFormatPr defaultRowHeight="15" x14ac:dyDescent="0.25"/>
  <cols>
    <col min="2" max="2" width="20.140625" customWidth="1"/>
    <col min="3" max="3" width="24.28515625" bestFit="1" customWidth="1"/>
    <col min="4" max="4" width="27.28515625" customWidth="1"/>
    <col min="5" max="5" width="18.85546875" customWidth="1"/>
  </cols>
  <sheetData>
    <row r="1" spans="1:5" ht="33.6" customHeight="1" x14ac:dyDescent="0.25">
      <c r="A1" s="20" t="s">
        <v>361</v>
      </c>
      <c r="B1" s="21" t="s">
        <v>362</v>
      </c>
      <c r="C1" s="21" t="s">
        <v>363</v>
      </c>
      <c r="D1" s="21" t="s">
        <v>364</v>
      </c>
      <c r="E1" s="22" t="s">
        <v>365</v>
      </c>
    </row>
    <row r="2" spans="1:5" ht="19.899999999999999" customHeight="1" x14ac:dyDescent="0.25">
      <c r="A2" s="18">
        <v>2015</v>
      </c>
      <c r="B2" s="12" t="s">
        <v>41</v>
      </c>
      <c r="C2" s="12" t="s">
        <v>33</v>
      </c>
      <c r="D2" s="12" t="s">
        <v>366</v>
      </c>
      <c r="E2" s="19" t="s">
        <v>367</v>
      </c>
    </row>
    <row r="3" spans="1:5" x14ac:dyDescent="0.25">
      <c r="A3" s="18">
        <v>2016</v>
      </c>
      <c r="B3" s="12" t="s">
        <v>121</v>
      </c>
      <c r="C3" s="12" t="s">
        <v>24</v>
      </c>
      <c r="D3" s="12" t="s">
        <v>368</v>
      </c>
      <c r="E3" s="19" t="s">
        <v>369</v>
      </c>
    </row>
    <row r="4" spans="1:5" x14ac:dyDescent="0.25">
      <c r="A4" s="18">
        <v>2017</v>
      </c>
      <c r="B4" s="12" t="s">
        <v>41</v>
      </c>
      <c r="C4" s="12" t="s">
        <v>171</v>
      </c>
      <c r="D4" s="12" t="s">
        <v>370</v>
      </c>
      <c r="E4" s="19" t="s">
        <v>371</v>
      </c>
    </row>
    <row r="5" spans="1:5" x14ac:dyDescent="0.25">
      <c r="A5" s="18">
        <v>2018</v>
      </c>
      <c r="B5" s="12" t="s">
        <v>33</v>
      </c>
      <c r="C5" s="12" t="s">
        <v>121</v>
      </c>
      <c r="D5" s="12" t="s">
        <v>372</v>
      </c>
      <c r="E5" s="19" t="s">
        <v>373</v>
      </c>
    </row>
    <row r="6" spans="1:5" x14ac:dyDescent="0.25">
      <c r="A6" s="18">
        <v>2019</v>
      </c>
      <c r="B6" s="12" t="s">
        <v>41</v>
      </c>
      <c r="C6" s="12" t="s">
        <v>33</v>
      </c>
      <c r="D6" s="12" t="s">
        <v>374</v>
      </c>
      <c r="E6" s="19" t="s">
        <v>367</v>
      </c>
    </row>
    <row r="7" spans="1:5" x14ac:dyDescent="0.25">
      <c r="A7" s="18">
        <v>2020</v>
      </c>
      <c r="B7" s="12" t="s">
        <v>41</v>
      </c>
      <c r="C7" s="12" t="s">
        <v>229</v>
      </c>
      <c r="D7" s="12" t="s">
        <v>375</v>
      </c>
      <c r="E7" s="19" t="s">
        <v>376</v>
      </c>
    </row>
    <row r="8" spans="1:5" x14ac:dyDescent="0.25">
      <c r="A8" s="18">
        <v>2021</v>
      </c>
      <c r="B8" s="12" t="s">
        <v>33</v>
      </c>
      <c r="C8" s="12" t="s">
        <v>25</v>
      </c>
      <c r="D8" s="12" t="s">
        <v>377</v>
      </c>
      <c r="E8" s="19" t="s">
        <v>378</v>
      </c>
    </row>
    <row r="9" spans="1:5" x14ac:dyDescent="0.25">
      <c r="A9" s="18">
        <v>2022</v>
      </c>
      <c r="B9" s="12" t="s">
        <v>277</v>
      </c>
      <c r="C9" s="12" t="s">
        <v>37</v>
      </c>
      <c r="D9" s="12" t="s">
        <v>379</v>
      </c>
      <c r="E9" s="19" t="s">
        <v>380</v>
      </c>
    </row>
    <row r="10" spans="1:5" x14ac:dyDescent="0.25">
      <c r="A10" s="18">
        <v>2023</v>
      </c>
      <c r="B10" s="12" t="s">
        <v>33</v>
      </c>
      <c r="C10" s="12" t="s">
        <v>277</v>
      </c>
      <c r="D10" s="12" t="s">
        <v>381</v>
      </c>
      <c r="E10" s="19" t="s">
        <v>382</v>
      </c>
    </row>
    <row r="11" spans="1:5" x14ac:dyDescent="0.25">
      <c r="A11" s="23">
        <v>2024</v>
      </c>
      <c r="B11" s="24" t="s">
        <v>25</v>
      </c>
      <c r="C11" s="24" t="s">
        <v>121</v>
      </c>
      <c r="D11" s="24" t="s">
        <v>383</v>
      </c>
      <c r="E11" s="25" t="s">
        <v>373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4"/>
  <sheetViews>
    <sheetView topLeftCell="A6" workbookViewId="0">
      <selection activeCell="N4" sqref="N4"/>
    </sheetView>
  </sheetViews>
  <sheetFormatPr defaultRowHeight="15" x14ac:dyDescent="0.25"/>
  <cols>
    <col min="1" max="1" width="24.28515625" bestFit="1" customWidth="1"/>
    <col min="2" max="2" width="15.5703125" customWidth="1"/>
    <col min="3" max="3" width="4.7109375" customWidth="1"/>
    <col min="4" max="4" width="10.7109375" bestFit="1" customWidth="1"/>
  </cols>
  <sheetData>
    <row r="3" spans="1:4" x14ac:dyDescent="0.25">
      <c r="A3" s="13" t="s">
        <v>386</v>
      </c>
      <c r="B3" s="13" t="s">
        <v>387</v>
      </c>
    </row>
    <row r="4" spans="1:4" x14ac:dyDescent="0.25">
      <c r="A4" s="13" t="s">
        <v>384</v>
      </c>
      <c r="B4" t="s">
        <v>34</v>
      </c>
      <c r="C4" t="s">
        <v>26</v>
      </c>
      <c r="D4" t="s">
        <v>385</v>
      </c>
    </row>
    <row r="5" spans="1:4" x14ac:dyDescent="0.25">
      <c r="A5" s="14" t="s">
        <v>33</v>
      </c>
      <c r="B5" s="15">
        <v>6</v>
      </c>
      <c r="C5" s="15">
        <v>4</v>
      </c>
      <c r="D5" s="15">
        <v>10</v>
      </c>
    </row>
    <row r="6" spans="1:4" x14ac:dyDescent="0.25">
      <c r="A6" s="14" t="s">
        <v>41</v>
      </c>
      <c r="B6" s="15">
        <v>6</v>
      </c>
      <c r="C6" s="15">
        <v>4</v>
      </c>
      <c r="D6" s="15">
        <v>10</v>
      </c>
    </row>
    <row r="7" spans="1:4" x14ac:dyDescent="0.25">
      <c r="A7" s="14" t="s">
        <v>24</v>
      </c>
      <c r="B7" s="15">
        <v>3</v>
      </c>
      <c r="C7" s="15">
        <v>5</v>
      </c>
      <c r="D7" s="15">
        <v>8</v>
      </c>
    </row>
    <row r="8" spans="1:4" x14ac:dyDescent="0.25">
      <c r="A8" s="14" t="s">
        <v>121</v>
      </c>
      <c r="B8" s="15">
        <v>2</v>
      </c>
      <c r="C8" s="15">
        <v>5</v>
      </c>
      <c r="D8" s="15">
        <v>7</v>
      </c>
    </row>
    <row r="9" spans="1:4" x14ac:dyDescent="0.25">
      <c r="A9" s="14" t="s">
        <v>37</v>
      </c>
      <c r="B9" s="15">
        <v>3</v>
      </c>
      <c r="C9" s="15">
        <v>4</v>
      </c>
      <c r="D9" s="15">
        <v>7</v>
      </c>
    </row>
    <row r="10" spans="1:4" x14ac:dyDescent="0.25">
      <c r="A10" s="14" t="s">
        <v>25</v>
      </c>
      <c r="B10" s="15">
        <v>2</v>
      </c>
      <c r="C10" s="15">
        <v>5</v>
      </c>
      <c r="D10" s="15">
        <v>7</v>
      </c>
    </row>
    <row r="11" spans="1:4" x14ac:dyDescent="0.25">
      <c r="A11" s="14" t="s">
        <v>229</v>
      </c>
      <c r="B11" s="15">
        <v>3</v>
      </c>
      <c r="C11" s="15">
        <v>2</v>
      </c>
      <c r="D11" s="15">
        <v>5</v>
      </c>
    </row>
    <row r="12" spans="1:4" x14ac:dyDescent="0.25">
      <c r="A12" s="14" t="s">
        <v>32</v>
      </c>
      <c r="B12" s="15"/>
      <c r="C12" s="15">
        <v>3</v>
      </c>
      <c r="D12" s="15">
        <v>3</v>
      </c>
    </row>
    <row r="13" spans="1:4" x14ac:dyDescent="0.25">
      <c r="A13" s="14" t="s">
        <v>29</v>
      </c>
      <c r="B13" s="15"/>
      <c r="C13" s="15">
        <v>2</v>
      </c>
      <c r="D13" s="15">
        <v>2</v>
      </c>
    </row>
    <row r="14" spans="1:4" x14ac:dyDescent="0.25">
      <c r="A14" s="14" t="s">
        <v>385</v>
      </c>
      <c r="B14" s="15">
        <v>25</v>
      </c>
      <c r="C14" s="15">
        <v>34</v>
      </c>
      <c r="D14" s="15">
        <v>59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B4" sqref="B4"/>
    </sheetView>
  </sheetViews>
  <sheetFormatPr defaultRowHeight="15" x14ac:dyDescent="0.25"/>
  <cols>
    <col min="1" max="1" width="12.5703125" customWidth="1"/>
    <col min="2" max="2" width="14.7109375" bestFit="1" customWidth="1"/>
  </cols>
  <sheetData>
    <row r="3" spans="1:2" x14ac:dyDescent="0.25">
      <c r="A3" s="13" t="s">
        <v>384</v>
      </c>
      <c r="B3" t="s">
        <v>388</v>
      </c>
    </row>
    <row r="4" spans="1:2" x14ac:dyDescent="0.25">
      <c r="A4" s="14" t="s">
        <v>34</v>
      </c>
      <c r="B4" s="16">
        <v>0.42372881355932202</v>
      </c>
    </row>
    <row r="5" spans="1:2" x14ac:dyDescent="0.25">
      <c r="A5" s="14" t="s">
        <v>26</v>
      </c>
      <c r="B5" s="16">
        <v>0.57627118644067798</v>
      </c>
    </row>
    <row r="6" spans="1:2" x14ac:dyDescent="0.25">
      <c r="A6" s="14" t="s">
        <v>385</v>
      </c>
      <c r="B6" s="16">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16"/>
  <sheetViews>
    <sheetView workbookViewId="0">
      <selection activeCell="J4" sqref="J4"/>
    </sheetView>
  </sheetViews>
  <sheetFormatPr defaultRowHeight="15" x14ac:dyDescent="0.25"/>
  <cols>
    <col min="1" max="1" width="45.7109375" customWidth="1"/>
    <col min="2" max="2" width="15.5703125" bestFit="1" customWidth="1"/>
    <col min="3" max="3" width="4.7109375" bestFit="1" customWidth="1"/>
    <col min="4" max="4" width="10.7109375" bestFit="1" customWidth="1"/>
  </cols>
  <sheetData>
    <row r="3" spans="1:7" x14ac:dyDescent="0.25">
      <c r="A3" s="13" t="s">
        <v>388</v>
      </c>
      <c r="B3" s="13" t="s">
        <v>387</v>
      </c>
      <c r="G3" t="s">
        <v>389</v>
      </c>
    </row>
    <row r="4" spans="1:7" x14ac:dyDescent="0.25">
      <c r="A4" s="13" t="s">
        <v>384</v>
      </c>
      <c r="B4" t="s">
        <v>34</v>
      </c>
      <c r="C4" t="s">
        <v>26</v>
      </c>
      <c r="D4" t="s">
        <v>385</v>
      </c>
    </row>
    <row r="5" spans="1:7" x14ac:dyDescent="0.25">
      <c r="A5" s="14" t="s">
        <v>40</v>
      </c>
      <c r="B5" s="15">
        <v>5</v>
      </c>
      <c r="C5" s="15">
        <v>3</v>
      </c>
      <c r="D5" s="15">
        <v>8</v>
      </c>
    </row>
    <row r="6" spans="1:7" x14ac:dyDescent="0.25">
      <c r="A6" s="14" t="s">
        <v>23</v>
      </c>
      <c r="B6" s="15"/>
      <c r="C6" s="15">
        <v>7</v>
      </c>
      <c r="D6" s="15">
        <v>7</v>
      </c>
    </row>
    <row r="7" spans="1:7" x14ac:dyDescent="0.25">
      <c r="A7" s="14" t="s">
        <v>43</v>
      </c>
      <c r="B7" s="15">
        <v>2</v>
      </c>
      <c r="C7" s="15">
        <v>5</v>
      </c>
      <c r="D7" s="15">
        <v>7</v>
      </c>
    </row>
    <row r="8" spans="1:7" x14ac:dyDescent="0.25">
      <c r="A8" s="14" t="s">
        <v>50</v>
      </c>
      <c r="B8" s="15">
        <v>5</v>
      </c>
      <c r="C8" s="15">
        <v>2</v>
      </c>
      <c r="D8" s="15">
        <v>7</v>
      </c>
    </row>
    <row r="9" spans="1:7" x14ac:dyDescent="0.25">
      <c r="A9" s="14" t="s">
        <v>36</v>
      </c>
      <c r="B9" s="15"/>
      <c r="C9" s="15">
        <v>5</v>
      </c>
      <c r="D9" s="15">
        <v>5</v>
      </c>
    </row>
    <row r="10" spans="1:7" x14ac:dyDescent="0.25">
      <c r="A10" s="14" t="s">
        <v>48</v>
      </c>
      <c r="B10" s="15">
        <v>3</v>
      </c>
      <c r="C10" s="15">
        <v>1</v>
      </c>
      <c r="D10" s="15">
        <v>4</v>
      </c>
    </row>
    <row r="11" spans="1:7" x14ac:dyDescent="0.25">
      <c r="A11" s="14" t="s">
        <v>78</v>
      </c>
      <c r="B11" s="15">
        <v>2</v>
      </c>
      <c r="C11" s="15">
        <v>2</v>
      </c>
      <c r="D11" s="15">
        <v>4</v>
      </c>
    </row>
    <row r="12" spans="1:7" x14ac:dyDescent="0.25">
      <c r="A12" s="14" t="s">
        <v>127</v>
      </c>
      <c r="B12" s="15">
        <v>2</v>
      </c>
      <c r="C12" s="15">
        <v>2</v>
      </c>
      <c r="D12" s="15">
        <v>4</v>
      </c>
    </row>
    <row r="13" spans="1:7" x14ac:dyDescent="0.25">
      <c r="A13" s="14" t="s">
        <v>31</v>
      </c>
      <c r="B13" s="15">
        <v>2</v>
      </c>
      <c r="C13" s="15">
        <v>2</v>
      </c>
      <c r="D13" s="15">
        <v>4</v>
      </c>
    </row>
    <row r="14" spans="1:7" x14ac:dyDescent="0.25">
      <c r="A14" s="14" t="s">
        <v>76</v>
      </c>
      <c r="B14" s="15">
        <v>1</v>
      </c>
      <c r="C14" s="15">
        <v>2</v>
      </c>
      <c r="D14" s="15">
        <v>3</v>
      </c>
    </row>
    <row r="15" spans="1:7" x14ac:dyDescent="0.25">
      <c r="A15" s="14" t="s">
        <v>109</v>
      </c>
      <c r="B15" s="15">
        <v>1</v>
      </c>
      <c r="C15" s="15">
        <v>2</v>
      </c>
      <c r="D15" s="15">
        <v>3</v>
      </c>
    </row>
    <row r="16" spans="1:7" x14ac:dyDescent="0.25">
      <c r="A16" s="14" t="s">
        <v>385</v>
      </c>
      <c r="B16" s="15">
        <v>23</v>
      </c>
      <c r="C16" s="15">
        <v>33</v>
      </c>
      <c r="D16" s="15">
        <v>56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O46"/>
  <sheetViews>
    <sheetView topLeftCell="A5" workbookViewId="0">
      <selection activeCell="E30" sqref="E30:E32"/>
    </sheetView>
  </sheetViews>
  <sheetFormatPr defaultRowHeight="15" x14ac:dyDescent="0.25"/>
  <cols>
    <col min="1" max="1" width="14.85546875" customWidth="1"/>
    <col min="2" max="2" width="23.42578125" bestFit="1" customWidth="1"/>
    <col min="5" max="5" width="14.85546875" bestFit="1" customWidth="1"/>
    <col min="6" max="6" width="10.5703125" bestFit="1" customWidth="1"/>
  </cols>
  <sheetData>
    <row r="3" spans="1:6" x14ac:dyDescent="0.25">
      <c r="A3" s="13" t="s">
        <v>384</v>
      </c>
      <c r="B3" t="s">
        <v>390</v>
      </c>
    </row>
    <row r="4" spans="1:6" x14ac:dyDescent="0.25">
      <c r="A4" s="14" t="s">
        <v>82</v>
      </c>
      <c r="B4" s="15">
        <v>4</v>
      </c>
    </row>
    <row r="5" spans="1:6" x14ac:dyDescent="0.25">
      <c r="A5" s="14" t="s">
        <v>106</v>
      </c>
      <c r="B5" s="15">
        <v>3</v>
      </c>
      <c r="E5" t="s">
        <v>393</v>
      </c>
      <c r="F5" t="s">
        <v>394</v>
      </c>
    </row>
    <row r="6" spans="1:6" x14ac:dyDescent="0.25">
      <c r="A6" s="14" t="s">
        <v>160</v>
      </c>
      <c r="B6" s="15">
        <v>3</v>
      </c>
      <c r="E6" t="str">
        <f>A4</f>
        <v>DA Warner</v>
      </c>
      <c r="F6">
        <f>GETPIVOTDATA("player_of_match",$A$3,"player_of_match",A4)</f>
        <v>4</v>
      </c>
    </row>
    <row r="7" spans="1:6" x14ac:dyDescent="0.25">
      <c r="A7" s="14" t="s">
        <v>55</v>
      </c>
      <c r="B7" s="15">
        <v>3</v>
      </c>
      <c r="E7" t="str">
        <f t="shared" ref="E7:E14" si="0">A5</f>
        <v>AM Rahane</v>
      </c>
      <c r="F7">
        <f t="shared" ref="F7:F15" si="1">GETPIVOTDATA("player_of_match",$A$3,"player_of_match",A5)</f>
        <v>3</v>
      </c>
    </row>
    <row r="8" spans="1:6" x14ac:dyDescent="0.25">
      <c r="A8" s="14" t="s">
        <v>60</v>
      </c>
      <c r="B8" s="15">
        <v>2</v>
      </c>
      <c r="E8" t="str">
        <f t="shared" si="0"/>
        <v>AD Russell</v>
      </c>
      <c r="F8">
        <f t="shared" si="1"/>
        <v>3</v>
      </c>
    </row>
    <row r="9" spans="1:6" x14ac:dyDescent="0.25">
      <c r="A9" s="14" t="s">
        <v>167</v>
      </c>
      <c r="B9" s="15">
        <v>2</v>
      </c>
      <c r="E9" t="str">
        <f t="shared" si="0"/>
        <v>A Nehra</v>
      </c>
      <c r="F9">
        <f t="shared" si="1"/>
        <v>3</v>
      </c>
    </row>
    <row r="10" spans="1:6" x14ac:dyDescent="0.25">
      <c r="A10" s="14" t="s">
        <v>74</v>
      </c>
      <c r="B10" s="15">
        <v>2</v>
      </c>
      <c r="E10" t="str">
        <f t="shared" si="0"/>
        <v>SK Raina</v>
      </c>
      <c r="F10">
        <f t="shared" si="1"/>
        <v>2</v>
      </c>
    </row>
    <row r="11" spans="1:6" x14ac:dyDescent="0.25">
      <c r="A11" s="14" t="s">
        <v>22</v>
      </c>
      <c r="B11" s="15">
        <v>2</v>
      </c>
      <c r="E11" t="str">
        <f t="shared" si="0"/>
        <v>HH Pandya</v>
      </c>
      <c r="F11">
        <f t="shared" si="1"/>
        <v>2</v>
      </c>
    </row>
    <row r="12" spans="1:6" x14ac:dyDescent="0.25">
      <c r="A12" s="14" t="s">
        <v>29</v>
      </c>
      <c r="B12" s="15">
        <v>2</v>
      </c>
      <c r="E12" t="str">
        <f t="shared" si="0"/>
        <v>Harbhajan Singh</v>
      </c>
      <c r="F12">
        <f t="shared" si="1"/>
        <v>2</v>
      </c>
    </row>
    <row r="13" spans="1:6" x14ac:dyDescent="0.25">
      <c r="A13" s="14" t="s">
        <v>62</v>
      </c>
      <c r="B13" s="15">
        <v>2</v>
      </c>
      <c r="E13" t="str">
        <f t="shared" si="0"/>
        <v>BB McCullum</v>
      </c>
      <c r="F13">
        <f t="shared" si="1"/>
        <v>2</v>
      </c>
    </row>
    <row r="14" spans="1:6" x14ac:dyDescent="0.25">
      <c r="A14" s="14" t="s">
        <v>64</v>
      </c>
      <c r="B14" s="15">
        <v>2</v>
      </c>
      <c r="E14" t="str">
        <f t="shared" si="0"/>
        <v>NA</v>
      </c>
      <c r="F14">
        <f t="shared" si="1"/>
        <v>2</v>
      </c>
    </row>
    <row r="15" spans="1:6" x14ac:dyDescent="0.25">
      <c r="A15" s="14" t="s">
        <v>120</v>
      </c>
      <c r="B15" s="15">
        <v>2</v>
      </c>
      <c r="E15" t="str">
        <f>A13</f>
        <v>CH Gayle</v>
      </c>
      <c r="F15">
        <f t="shared" si="1"/>
        <v>2</v>
      </c>
    </row>
    <row r="16" spans="1:6" x14ac:dyDescent="0.25">
      <c r="A16" s="14" t="s">
        <v>119</v>
      </c>
      <c r="B16" s="15">
        <v>1</v>
      </c>
    </row>
    <row r="17" spans="1:15" x14ac:dyDescent="0.25">
      <c r="A17" s="14" t="s">
        <v>45</v>
      </c>
      <c r="B17" s="15">
        <v>1</v>
      </c>
    </row>
    <row r="18" spans="1:15" x14ac:dyDescent="0.25">
      <c r="A18" s="14" t="s">
        <v>53</v>
      </c>
      <c r="B18" s="15">
        <v>1</v>
      </c>
    </row>
    <row r="19" spans="1:15" x14ac:dyDescent="0.25">
      <c r="A19" s="14" t="s">
        <v>84</v>
      </c>
      <c r="B19" s="15">
        <v>1</v>
      </c>
    </row>
    <row r="20" spans="1:15" x14ac:dyDescent="0.25">
      <c r="A20" s="14" t="s">
        <v>156</v>
      </c>
      <c r="B20" s="15">
        <v>1</v>
      </c>
    </row>
    <row r="21" spans="1:15" x14ac:dyDescent="0.25">
      <c r="A21" s="14" t="s">
        <v>58</v>
      </c>
      <c r="B21" s="15">
        <v>1</v>
      </c>
    </row>
    <row r="22" spans="1:15" x14ac:dyDescent="0.25">
      <c r="A22" s="14" t="s">
        <v>108</v>
      </c>
      <c r="B22" s="15">
        <v>1</v>
      </c>
    </row>
    <row r="23" spans="1:15" x14ac:dyDescent="0.25">
      <c r="A23" s="14" t="s">
        <v>68</v>
      </c>
      <c r="B23" s="15">
        <v>1</v>
      </c>
    </row>
    <row r="24" spans="1:15" x14ac:dyDescent="0.25">
      <c r="A24" s="14" t="s">
        <v>83</v>
      </c>
      <c r="B24" s="15">
        <v>1</v>
      </c>
    </row>
    <row r="25" spans="1:15" x14ac:dyDescent="0.25">
      <c r="A25" s="14" t="s">
        <v>125</v>
      </c>
      <c r="B25" s="15">
        <v>1</v>
      </c>
      <c r="E25" s="17" t="s">
        <v>391</v>
      </c>
      <c r="F25" s="17"/>
      <c r="G25" s="17"/>
      <c r="H25" s="17"/>
      <c r="I25" s="17"/>
      <c r="J25" s="17"/>
      <c r="K25" s="17"/>
      <c r="L25" s="17"/>
    </row>
    <row r="26" spans="1:15" x14ac:dyDescent="0.25">
      <c r="A26" s="14" t="s">
        <v>157</v>
      </c>
      <c r="B26" s="15">
        <v>1</v>
      </c>
      <c r="E26" s="17" t="s">
        <v>392</v>
      </c>
      <c r="F26" s="17"/>
      <c r="G26" s="17"/>
      <c r="H26" s="17"/>
    </row>
    <row r="27" spans="1:15" x14ac:dyDescent="0.25">
      <c r="A27" s="14" t="s">
        <v>86</v>
      </c>
      <c r="B27" s="15">
        <v>1</v>
      </c>
      <c r="O27" t="s">
        <v>391</v>
      </c>
    </row>
    <row r="28" spans="1:15" x14ac:dyDescent="0.25">
      <c r="A28" s="14" t="s">
        <v>165</v>
      </c>
      <c r="B28" s="15">
        <v>1</v>
      </c>
      <c r="O28" t="s">
        <v>392</v>
      </c>
    </row>
    <row r="29" spans="1:15" x14ac:dyDescent="0.25">
      <c r="A29" s="14" t="s">
        <v>153</v>
      </c>
      <c r="B29" s="15">
        <v>1</v>
      </c>
    </row>
    <row r="30" spans="1:15" x14ac:dyDescent="0.25">
      <c r="A30" s="14" t="s">
        <v>85</v>
      </c>
      <c r="B30" s="15">
        <v>1</v>
      </c>
    </row>
    <row r="31" spans="1:15" x14ac:dyDescent="0.25">
      <c r="A31" s="14" t="s">
        <v>112</v>
      </c>
      <c r="B31" s="15">
        <v>1</v>
      </c>
    </row>
    <row r="32" spans="1:15" x14ac:dyDescent="0.25">
      <c r="A32" s="14" t="s">
        <v>72</v>
      </c>
      <c r="B32" s="15">
        <v>1</v>
      </c>
    </row>
    <row r="33" spans="1:2" x14ac:dyDescent="0.25">
      <c r="A33" s="14" t="s">
        <v>164</v>
      </c>
      <c r="B33" s="15">
        <v>1</v>
      </c>
    </row>
    <row r="34" spans="1:2" x14ac:dyDescent="0.25">
      <c r="A34" s="14" t="s">
        <v>166</v>
      </c>
      <c r="B34" s="15">
        <v>1</v>
      </c>
    </row>
    <row r="35" spans="1:2" x14ac:dyDescent="0.25">
      <c r="A35" s="14" t="s">
        <v>92</v>
      </c>
      <c r="B35" s="15">
        <v>1</v>
      </c>
    </row>
    <row r="36" spans="1:2" x14ac:dyDescent="0.25">
      <c r="A36" s="14" t="s">
        <v>104</v>
      </c>
      <c r="B36" s="15">
        <v>1</v>
      </c>
    </row>
    <row r="37" spans="1:2" x14ac:dyDescent="0.25">
      <c r="A37" s="14" t="s">
        <v>152</v>
      </c>
      <c r="B37" s="15">
        <v>1</v>
      </c>
    </row>
    <row r="38" spans="1:2" x14ac:dyDescent="0.25">
      <c r="A38" s="14" t="s">
        <v>161</v>
      </c>
      <c r="B38" s="15">
        <v>1</v>
      </c>
    </row>
    <row r="39" spans="1:2" x14ac:dyDescent="0.25">
      <c r="A39" s="14" t="s">
        <v>168</v>
      </c>
      <c r="B39" s="15">
        <v>1</v>
      </c>
    </row>
    <row r="40" spans="1:2" x14ac:dyDescent="0.25">
      <c r="A40" s="14" t="s">
        <v>170</v>
      </c>
      <c r="B40" s="15">
        <v>1</v>
      </c>
    </row>
    <row r="41" spans="1:2" x14ac:dyDescent="0.25">
      <c r="A41" s="14" t="s">
        <v>169</v>
      </c>
      <c r="B41" s="15">
        <v>1</v>
      </c>
    </row>
    <row r="42" spans="1:2" x14ac:dyDescent="0.25">
      <c r="A42" s="14" t="s">
        <v>163</v>
      </c>
      <c r="B42" s="15">
        <v>1</v>
      </c>
    </row>
    <row r="43" spans="1:2" x14ac:dyDescent="0.25">
      <c r="A43" s="14" t="s">
        <v>162</v>
      </c>
      <c r="B43" s="15">
        <v>1</v>
      </c>
    </row>
    <row r="44" spans="1:2" x14ac:dyDescent="0.25">
      <c r="A44" s="14" t="s">
        <v>117</v>
      </c>
      <c r="B44" s="15">
        <v>1</v>
      </c>
    </row>
    <row r="45" spans="1:2" x14ac:dyDescent="0.25">
      <c r="A45" s="14" t="s">
        <v>159</v>
      </c>
      <c r="B45" s="15">
        <v>1</v>
      </c>
    </row>
    <row r="46" spans="1:2" x14ac:dyDescent="0.25">
      <c r="A46" s="14" t="s">
        <v>385</v>
      </c>
      <c r="B46" s="15">
        <v>59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3"/>
  <sheetViews>
    <sheetView workbookViewId="0">
      <selection activeCell="A6" sqref="A6"/>
    </sheetView>
  </sheetViews>
  <sheetFormatPr defaultRowHeight="15" x14ac:dyDescent="0.25"/>
  <cols>
    <col min="1" max="1" width="24.28515625" bestFit="1" customWidth="1"/>
    <col min="2" max="2" width="14.7109375" bestFit="1" customWidth="1"/>
  </cols>
  <sheetData>
    <row r="3" spans="1:2" x14ac:dyDescent="0.25">
      <c r="A3" s="13" t="s">
        <v>384</v>
      </c>
      <c r="B3" t="s">
        <v>388</v>
      </c>
    </row>
    <row r="4" spans="1:2" x14ac:dyDescent="0.25">
      <c r="A4" s="14" t="s">
        <v>33</v>
      </c>
      <c r="B4" s="15">
        <v>10</v>
      </c>
    </row>
    <row r="5" spans="1:2" x14ac:dyDescent="0.25">
      <c r="A5" s="14" t="s">
        <v>41</v>
      </c>
      <c r="B5" s="15">
        <v>10</v>
      </c>
    </row>
    <row r="6" spans="1:2" x14ac:dyDescent="0.25">
      <c r="A6" s="14" t="s">
        <v>24</v>
      </c>
      <c r="B6" s="15">
        <v>8</v>
      </c>
    </row>
    <row r="7" spans="1:2" x14ac:dyDescent="0.25">
      <c r="A7" s="14" t="s">
        <v>121</v>
      </c>
      <c r="B7" s="15">
        <v>7</v>
      </c>
    </row>
    <row r="8" spans="1:2" x14ac:dyDescent="0.25">
      <c r="A8" s="14" t="s">
        <v>37</v>
      </c>
      <c r="B8" s="15">
        <v>7</v>
      </c>
    </row>
    <row r="9" spans="1:2" x14ac:dyDescent="0.25">
      <c r="A9" s="14" t="s">
        <v>25</v>
      </c>
      <c r="B9" s="15">
        <v>7</v>
      </c>
    </row>
    <row r="10" spans="1:2" x14ac:dyDescent="0.25">
      <c r="A10" s="14" t="s">
        <v>229</v>
      </c>
      <c r="B10" s="15">
        <v>5</v>
      </c>
    </row>
    <row r="11" spans="1:2" x14ac:dyDescent="0.25">
      <c r="A11" s="14" t="s">
        <v>32</v>
      </c>
      <c r="B11" s="15">
        <v>3</v>
      </c>
    </row>
    <row r="12" spans="1:2" x14ac:dyDescent="0.25">
      <c r="A12" s="14" t="s">
        <v>29</v>
      </c>
      <c r="B12" s="15">
        <v>2</v>
      </c>
    </row>
    <row r="13" spans="1:2" x14ac:dyDescent="0.25">
      <c r="A13" s="14" t="s">
        <v>385</v>
      </c>
      <c r="B13" s="15">
        <v>59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29"/>
  <sheetViews>
    <sheetView topLeftCell="A2" workbookViewId="0">
      <selection activeCell="I15" sqref="I15"/>
    </sheetView>
  </sheetViews>
  <sheetFormatPr defaultRowHeight="15" x14ac:dyDescent="0.25"/>
  <cols>
    <col min="1" max="1" width="12.5703125" bestFit="1" customWidth="1"/>
  </cols>
  <sheetData>
    <row r="3" spans="1:12" x14ac:dyDescent="0.25">
      <c r="A3" s="13" t="s">
        <v>384</v>
      </c>
    </row>
    <row r="4" spans="1:12" x14ac:dyDescent="0.25">
      <c r="A4" s="14" t="s">
        <v>350</v>
      </c>
    </row>
    <row r="5" spans="1:12" x14ac:dyDescent="0.25">
      <c r="A5" s="14" t="s">
        <v>385</v>
      </c>
    </row>
    <row r="14" spans="1:12" ht="60" x14ac:dyDescent="0.25">
      <c r="H14" s="26" t="s">
        <v>361</v>
      </c>
      <c r="I14" s="26" t="s">
        <v>362</v>
      </c>
      <c r="J14" s="26" t="s">
        <v>363</v>
      </c>
      <c r="K14" s="26" t="s">
        <v>364</v>
      </c>
      <c r="L14" s="26" t="s">
        <v>365</v>
      </c>
    </row>
    <row r="15" spans="1:12" x14ac:dyDescent="0.25">
      <c r="H15" t="str">
        <f>A4</f>
        <v>IPL-2015</v>
      </c>
      <c r="I15" t="str">
        <f>VLOOKUP($H$15,Table1454[],2,FALSE)</f>
        <v>Mumbai Indians</v>
      </c>
      <c r="J15" t="str">
        <f>VLOOKUP($H$15,Table1454[],3,FALSE)</f>
        <v>Chennai Super Kings</v>
      </c>
      <c r="K15" t="str">
        <f>VLOOKUP($H$15,Table1454[],4,FALSE)</f>
        <v xml:space="preserve">Rohit Sharma </v>
      </c>
      <c r="L15" t="str">
        <f>VLOOKUP($H$15,Table1454[],5,FALSE)</f>
        <v xml:space="preserve">Andre Russell </v>
      </c>
    </row>
    <row r="19" spans="1:5" ht="60" x14ac:dyDescent="0.25">
      <c r="A19" s="20" t="s">
        <v>361</v>
      </c>
      <c r="B19" s="21" t="s">
        <v>362</v>
      </c>
      <c r="C19" s="21" t="s">
        <v>363</v>
      </c>
      <c r="D19" s="21" t="s">
        <v>364</v>
      </c>
      <c r="E19" s="22" t="s">
        <v>365</v>
      </c>
    </row>
    <row r="20" spans="1:5" x14ac:dyDescent="0.25">
      <c r="A20" s="18" t="s">
        <v>350</v>
      </c>
      <c r="B20" s="12" t="s">
        <v>41</v>
      </c>
      <c r="C20" s="12" t="s">
        <v>33</v>
      </c>
      <c r="D20" s="12" t="s">
        <v>366</v>
      </c>
      <c r="E20" s="19" t="s">
        <v>367</v>
      </c>
    </row>
    <row r="21" spans="1:5" x14ac:dyDescent="0.25">
      <c r="A21" s="18" t="s">
        <v>351</v>
      </c>
      <c r="B21" s="12" t="s">
        <v>121</v>
      </c>
      <c r="C21" s="12" t="s">
        <v>24</v>
      </c>
      <c r="D21" s="12" t="s">
        <v>368</v>
      </c>
      <c r="E21" s="19" t="s">
        <v>369</v>
      </c>
    </row>
    <row r="22" spans="1:5" x14ac:dyDescent="0.25">
      <c r="A22" s="18" t="s">
        <v>352</v>
      </c>
      <c r="B22" s="12" t="s">
        <v>41</v>
      </c>
      <c r="C22" s="12" t="s">
        <v>171</v>
      </c>
      <c r="D22" s="12" t="s">
        <v>370</v>
      </c>
      <c r="E22" s="19" t="s">
        <v>371</v>
      </c>
    </row>
    <row r="23" spans="1:5" x14ac:dyDescent="0.25">
      <c r="A23" s="18" t="s">
        <v>353</v>
      </c>
      <c r="B23" s="12" t="s">
        <v>33</v>
      </c>
      <c r="C23" s="12" t="s">
        <v>121</v>
      </c>
      <c r="D23" s="12" t="s">
        <v>372</v>
      </c>
      <c r="E23" s="19" t="s">
        <v>373</v>
      </c>
    </row>
    <row r="24" spans="1:5" x14ac:dyDescent="0.25">
      <c r="A24" s="18" t="s">
        <v>354</v>
      </c>
      <c r="B24" s="12" t="s">
        <v>41</v>
      </c>
      <c r="C24" s="12" t="s">
        <v>33</v>
      </c>
      <c r="D24" s="12" t="s">
        <v>374</v>
      </c>
      <c r="E24" s="19" t="s">
        <v>367</v>
      </c>
    </row>
    <row r="25" spans="1:5" x14ac:dyDescent="0.25">
      <c r="A25" s="18" t="s">
        <v>355</v>
      </c>
      <c r="B25" s="12" t="s">
        <v>41</v>
      </c>
      <c r="C25" s="12" t="s">
        <v>229</v>
      </c>
      <c r="D25" s="12" t="s">
        <v>375</v>
      </c>
      <c r="E25" s="19" t="s">
        <v>376</v>
      </c>
    </row>
    <row r="26" spans="1:5" x14ac:dyDescent="0.25">
      <c r="A26" s="18" t="s">
        <v>356</v>
      </c>
      <c r="B26" s="12" t="s">
        <v>33</v>
      </c>
      <c r="C26" s="12" t="s">
        <v>25</v>
      </c>
      <c r="D26" s="12" t="s">
        <v>377</v>
      </c>
      <c r="E26" s="19" t="s">
        <v>378</v>
      </c>
    </row>
    <row r="27" spans="1:5" x14ac:dyDescent="0.25">
      <c r="A27" s="18" t="s">
        <v>357</v>
      </c>
      <c r="B27" s="12" t="s">
        <v>277</v>
      </c>
      <c r="C27" s="12" t="s">
        <v>37</v>
      </c>
      <c r="D27" s="12" t="s">
        <v>379</v>
      </c>
      <c r="E27" s="19" t="s">
        <v>380</v>
      </c>
    </row>
    <row r="28" spans="1:5" x14ac:dyDescent="0.25">
      <c r="A28" s="18" t="s">
        <v>358</v>
      </c>
      <c r="B28" s="12" t="s">
        <v>33</v>
      </c>
      <c r="C28" s="12" t="s">
        <v>277</v>
      </c>
      <c r="D28" s="12" t="s">
        <v>381</v>
      </c>
      <c r="E28" s="19" t="s">
        <v>382</v>
      </c>
    </row>
    <row r="29" spans="1:5" x14ac:dyDescent="0.25">
      <c r="A29" s="18" t="s">
        <v>359</v>
      </c>
      <c r="B29" s="24" t="s">
        <v>25</v>
      </c>
      <c r="C29" s="24" t="s">
        <v>121</v>
      </c>
      <c r="D29" s="24" t="s">
        <v>383</v>
      </c>
      <c r="E29" s="25" t="s">
        <v>373</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topLeftCell="A2" zoomScale="70" zoomScaleNormal="70" workbookViewId="0">
      <selection activeCell="Y15" sqref="Y1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15"/>
  <sheetViews>
    <sheetView workbookViewId="0">
      <selection activeCell="M20" sqref="M20"/>
    </sheetView>
  </sheetViews>
  <sheetFormatPr defaultRowHeight="15" x14ac:dyDescent="0.25"/>
  <cols>
    <col min="1" max="1" width="18.28515625" bestFit="1" customWidth="1"/>
    <col min="2" max="2" width="15" bestFit="1" customWidth="1"/>
    <col min="4" max="4" width="18.28515625" bestFit="1" customWidth="1"/>
  </cols>
  <sheetData>
    <row r="3" spans="1:8" x14ac:dyDescent="0.25">
      <c r="A3" s="13" t="s">
        <v>384</v>
      </c>
      <c r="B3" t="s">
        <v>395</v>
      </c>
    </row>
    <row r="4" spans="1:8" x14ac:dyDescent="0.25">
      <c r="A4" s="14" t="s">
        <v>41</v>
      </c>
      <c r="B4" s="15">
        <v>4</v>
      </c>
      <c r="D4" t="str">
        <f>A4</f>
        <v>Mumbai Indians</v>
      </c>
      <c r="E4">
        <f>GETPIVOTDATA("Winner",$A$3,"Winner",A4)</f>
        <v>4</v>
      </c>
    </row>
    <row r="5" spans="1:8" x14ac:dyDescent="0.25">
      <c r="A5" s="14" t="s">
        <v>33</v>
      </c>
      <c r="B5" s="15">
        <v>3</v>
      </c>
      <c r="D5" t="str">
        <f t="shared" ref="D5:D8" si="0">A5</f>
        <v>Chennai Super Kings</v>
      </c>
      <c r="E5">
        <f t="shared" ref="E5:E8" si="1">GETPIVOTDATA("Winner",$A$3,"Winner",A5)</f>
        <v>3</v>
      </c>
    </row>
    <row r="6" spans="1:8" x14ac:dyDescent="0.25">
      <c r="A6" s="14" t="s">
        <v>121</v>
      </c>
      <c r="B6" s="15">
        <v>1</v>
      </c>
      <c r="D6" t="str">
        <f t="shared" si="0"/>
        <v>Sunrisers Hyderabad</v>
      </c>
      <c r="E6">
        <f t="shared" si="1"/>
        <v>1</v>
      </c>
    </row>
    <row r="7" spans="1:8" x14ac:dyDescent="0.25">
      <c r="A7" s="14" t="s">
        <v>277</v>
      </c>
      <c r="B7" s="15">
        <v>1</v>
      </c>
      <c r="D7" t="str">
        <f t="shared" si="0"/>
        <v>Gujarat Titans</v>
      </c>
      <c r="E7">
        <f t="shared" si="1"/>
        <v>1</v>
      </c>
    </row>
    <row r="8" spans="1:8" x14ac:dyDescent="0.25">
      <c r="A8" s="14" t="s">
        <v>25</v>
      </c>
      <c r="B8" s="15">
        <v>1</v>
      </c>
      <c r="D8" t="str">
        <f t="shared" si="0"/>
        <v>Kolkata Knight Riders</v>
      </c>
      <c r="E8">
        <f t="shared" si="1"/>
        <v>1</v>
      </c>
    </row>
    <row r="9" spans="1:8" x14ac:dyDescent="0.25">
      <c r="A9" s="14" t="s">
        <v>385</v>
      </c>
      <c r="B9" s="15">
        <v>10</v>
      </c>
    </row>
    <row r="14" spans="1:8" x14ac:dyDescent="0.25">
      <c r="H14" t="s">
        <v>396</v>
      </c>
    </row>
    <row r="15" spans="1:8" x14ac:dyDescent="0.25">
      <c r="H15" t="s">
        <v>397</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30"/>
  <sheetViews>
    <sheetView workbookViewId="0">
      <selection activeCell="G6" sqref="G6:K6"/>
    </sheetView>
  </sheetViews>
  <sheetFormatPr defaultRowHeight="15" x14ac:dyDescent="0.25"/>
  <cols>
    <col min="1" max="1" width="12.5703125" bestFit="1" customWidth="1"/>
    <col min="5" max="5" width="12.28515625" bestFit="1" customWidth="1"/>
    <col min="8" max="8" width="14" bestFit="1" customWidth="1"/>
    <col min="9" max="9" width="17.28515625" bestFit="1" customWidth="1"/>
    <col min="10" max="11" width="12.28515625" bestFit="1" customWidth="1"/>
  </cols>
  <sheetData>
    <row r="3" spans="1:11" x14ac:dyDescent="0.25">
      <c r="A3" s="13" t="s">
        <v>384</v>
      </c>
      <c r="H3" t="s">
        <v>398</v>
      </c>
    </row>
    <row r="4" spans="1:11" x14ac:dyDescent="0.25">
      <c r="A4" s="14" t="s">
        <v>351</v>
      </c>
    </row>
    <row r="5" spans="1:11" x14ac:dyDescent="0.25">
      <c r="A5" s="14" t="s">
        <v>385</v>
      </c>
    </row>
    <row r="6" spans="1:11" ht="45" x14ac:dyDescent="0.25">
      <c r="G6" s="26" t="s">
        <v>361</v>
      </c>
      <c r="H6" s="26" t="s">
        <v>362</v>
      </c>
      <c r="I6" s="26" t="s">
        <v>363</v>
      </c>
      <c r="J6" s="26" t="s">
        <v>364</v>
      </c>
      <c r="K6" s="26" t="s">
        <v>365</v>
      </c>
    </row>
    <row r="7" spans="1:11" x14ac:dyDescent="0.25">
      <c r="G7" t="str">
        <f>A4</f>
        <v>IPL-2016</v>
      </c>
      <c r="H7" t="str">
        <f>VLOOKUP($G$7,Table145[],2,FALSE)</f>
        <v>Sunrisers Hyderabad</v>
      </c>
      <c r="I7" t="str">
        <f>VLOOKUP($G$7,Table145[],3,FALSE)</f>
        <v>Royal Challengers Bangalore</v>
      </c>
      <c r="J7" t="str">
        <f>VLOOKUP($G$7,Table145[],4,FALSE)</f>
        <v xml:space="preserve">Ben Cutting </v>
      </c>
      <c r="K7" t="str">
        <f>VLOOKUP($G$7,Table145[],5,FALSE)</f>
        <v xml:space="preserve">Virat Kohli </v>
      </c>
    </row>
    <row r="20" spans="1:5" ht="60" x14ac:dyDescent="0.25">
      <c r="A20" s="20" t="s">
        <v>361</v>
      </c>
      <c r="B20" s="21" t="s">
        <v>362</v>
      </c>
      <c r="C20" s="21" t="s">
        <v>363</v>
      </c>
      <c r="D20" s="21" t="s">
        <v>364</v>
      </c>
      <c r="E20" s="22" t="s">
        <v>365</v>
      </c>
    </row>
    <row r="21" spans="1:5" x14ac:dyDescent="0.25">
      <c r="A21" s="18" t="s">
        <v>350</v>
      </c>
      <c r="B21" s="12" t="s">
        <v>41</v>
      </c>
      <c r="C21" s="12" t="s">
        <v>33</v>
      </c>
      <c r="D21" s="12" t="s">
        <v>366</v>
      </c>
      <c r="E21" s="19" t="s">
        <v>367</v>
      </c>
    </row>
    <row r="22" spans="1:5" x14ac:dyDescent="0.25">
      <c r="A22" s="18" t="s">
        <v>351</v>
      </c>
      <c r="B22" s="12" t="s">
        <v>121</v>
      </c>
      <c r="C22" s="12" t="s">
        <v>24</v>
      </c>
      <c r="D22" s="12" t="s">
        <v>368</v>
      </c>
      <c r="E22" s="19" t="s">
        <v>369</v>
      </c>
    </row>
    <row r="23" spans="1:5" x14ac:dyDescent="0.25">
      <c r="A23" s="18" t="s">
        <v>352</v>
      </c>
      <c r="B23" s="12" t="s">
        <v>41</v>
      </c>
      <c r="C23" s="12" t="s">
        <v>171</v>
      </c>
      <c r="D23" s="12" t="s">
        <v>370</v>
      </c>
      <c r="E23" s="19" t="s">
        <v>371</v>
      </c>
    </row>
    <row r="24" spans="1:5" x14ac:dyDescent="0.25">
      <c r="A24" s="18" t="s">
        <v>353</v>
      </c>
      <c r="B24" s="12" t="s">
        <v>33</v>
      </c>
      <c r="C24" s="12" t="s">
        <v>121</v>
      </c>
      <c r="D24" s="12" t="s">
        <v>372</v>
      </c>
      <c r="E24" s="19" t="s">
        <v>373</v>
      </c>
    </row>
    <row r="25" spans="1:5" x14ac:dyDescent="0.25">
      <c r="A25" s="18" t="s">
        <v>354</v>
      </c>
      <c r="B25" s="12" t="s">
        <v>41</v>
      </c>
      <c r="C25" s="12" t="s">
        <v>33</v>
      </c>
      <c r="D25" s="12" t="s">
        <v>374</v>
      </c>
      <c r="E25" s="19" t="s">
        <v>367</v>
      </c>
    </row>
    <row r="26" spans="1:5" x14ac:dyDescent="0.25">
      <c r="A26" s="18" t="s">
        <v>355</v>
      </c>
      <c r="B26" s="12" t="s">
        <v>41</v>
      </c>
      <c r="C26" s="12" t="s">
        <v>229</v>
      </c>
      <c r="D26" s="12" t="s">
        <v>375</v>
      </c>
      <c r="E26" s="19" t="s">
        <v>376</v>
      </c>
    </row>
    <row r="27" spans="1:5" x14ac:dyDescent="0.25">
      <c r="A27" s="18" t="s">
        <v>356</v>
      </c>
      <c r="B27" s="12" t="s">
        <v>33</v>
      </c>
      <c r="C27" s="12" t="s">
        <v>25</v>
      </c>
      <c r="D27" s="12" t="s">
        <v>377</v>
      </c>
      <c r="E27" s="19" t="s">
        <v>378</v>
      </c>
    </row>
    <row r="28" spans="1:5" x14ac:dyDescent="0.25">
      <c r="A28" s="18" t="s">
        <v>357</v>
      </c>
      <c r="B28" s="12" t="s">
        <v>277</v>
      </c>
      <c r="C28" s="12" t="s">
        <v>37</v>
      </c>
      <c r="D28" s="12" t="s">
        <v>379</v>
      </c>
      <c r="E28" s="19" t="s">
        <v>380</v>
      </c>
    </row>
    <row r="29" spans="1:5" x14ac:dyDescent="0.25">
      <c r="A29" s="18" t="s">
        <v>358</v>
      </c>
      <c r="B29" s="12" t="s">
        <v>33</v>
      </c>
      <c r="C29" s="12" t="s">
        <v>277</v>
      </c>
      <c r="D29" s="12" t="s">
        <v>381</v>
      </c>
      <c r="E29" s="19" t="s">
        <v>382</v>
      </c>
    </row>
    <row r="30" spans="1:5" x14ac:dyDescent="0.25">
      <c r="A30" s="18" t="s">
        <v>359</v>
      </c>
      <c r="B30" s="24" t="s">
        <v>25</v>
      </c>
      <c r="C30" s="24" t="s">
        <v>121</v>
      </c>
      <c r="D30" s="24" t="s">
        <v>383</v>
      </c>
      <c r="E30" s="25" t="s">
        <v>373</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 2015-2024</vt:lpstr>
      <vt:lpstr> Winners Data</vt:lpstr>
      <vt:lpstr>Matches win by team</vt:lpstr>
      <vt:lpstr>Toss Based Decision</vt:lpstr>
      <vt:lpstr>Top 10 Venues</vt:lpstr>
      <vt:lpstr>MoM</vt:lpstr>
      <vt:lpstr>Count of Winners</vt:lpstr>
      <vt:lpstr>KPI ED</vt:lpstr>
      <vt:lpstr>Dashboard</vt:lpstr>
      <vt:lpstr>Title Winners</vt:lpstr>
      <vt:lpstr>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Sahu</dc:creator>
  <cp:lastModifiedBy>shubham sahu</cp:lastModifiedBy>
  <dcterms:created xsi:type="dcterms:W3CDTF">2025-10-01T08:19:08Z</dcterms:created>
  <dcterms:modified xsi:type="dcterms:W3CDTF">2025-10-07T06:38:40Z</dcterms:modified>
</cp:coreProperties>
</file>